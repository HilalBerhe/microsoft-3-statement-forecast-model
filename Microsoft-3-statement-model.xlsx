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lal\Downloads\"/>
    </mc:Choice>
  </mc:AlternateContent>
  <xr:revisionPtr revIDLastSave="0" documentId="13_ncr:1_{51A2369F-AF69-4516-A543-518D12AAACE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over Page" sheetId="1" r:id="rId1"/>
    <sheet name="Three Statement Model" sheetId="2" r:id="rId2"/>
  </sheets>
  <definedNames>
    <definedName name="CIQWBGuid">"2cd8126d-26c3-430c-b7fa-a069e3a1fc62"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"10/01/2018 15:52:08"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</definedNames>
  <calcPr calcId="181029" iterate="1"/>
  <extLst>
    <ext uri="GoogleSheetsCustomDataVersion1">
      <go:sheetsCustomData xmlns:go="http://customooxmlschemas.google.com/" r:id="rId7" roundtripDataSignature="AMtx7mhWz6wbBQJYzkd08k8WBcMP626QnQ=="/>
    </ext>
  </extLst>
</workbook>
</file>

<file path=xl/calcChain.xml><?xml version="1.0" encoding="utf-8"?>
<calcChain xmlns="http://schemas.openxmlformats.org/spreadsheetml/2006/main">
  <c r="F98" i="2" l="1"/>
  <c r="G98" i="2"/>
  <c r="H98" i="2"/>
  <c r="I95" i="2" s="1"/>
  <c r="E98" i="2"/>
  <c r="F95" i="2" s="1"/>
  <c r="F103" i="2"/>
  <c r="G103" i="2"/>
  <c r="H103" i="2"/>
  <c r="I101" i="2" s="1"/>
  <c r="E103" i="2"/>
  <c r="F101" i="2" s="1"/>
  <c r="H81" i="2"/>
  <c r="I80" i="2" s="1"/>
  <c r="G81" i="2"/>
  <c r="F81" i="2"/>
  <c r="E81" i="2"/>
  <c r="F96" i="2"/>
  <c r="H96" i="2"/>
  <c r="E96" i="2"/>
  <c r="G71" i="2"/>
  <c r="G72" i="2" s="1"/>
  <c r="G114" i="2" s="1"/>
  <c r="H90" i="2"/>
  <c r="F90" i="2"/>
  <c r="G90" i="2"/>
  <c r="E90" i="2"/>
  <c r="E76" i="2"/>
  <c r="E20" i="2" s="1"/>
  <c r="E75" i="2"/>
  <c r="E102" i="2" s="1"/>
  <c r="H113" i="2"/>
  <c r="F111" i="2"/>
  <c r="G111" i="2"/>
  <c r="H111" i="2"/>
  <c r="E111" i="2"/>
  <c r="E110" i="2"/>
  <c r="F110" i="2"/>
  <c r="G110" i="2"/>
  <c r="H110" i="2"/>
  <c r="H68" i="2"/>
  <c r="F75" i="2"/>
  <c r="F102" i="2" s="1"/>
  <c r="G75" i="2"/>
  <c r="G102" i="2" s="1"/>
  <c r="H75" i="2"/>
  <c r="F89" i="2"/>
  <c r="G89" i="2"/>
  <c r="H89" i="2"/>
  <c r="E89" i="2"/>
  <c r="H56" i="2"/>
  <c r="H52" i="2"/>
  <c r="H47" i="2"/>
  <c r="E33" i="2"/>
  <c r="E34" i="2" s="1"/>
  <c r="E37" i="2" s="1"/>
  <c r="H33" i="2"/>
  <c r="H34" i="2" s="1"/>
  <c r="J21" i="2"/>
  <c r="K21" i="2" s="1"/>
  <c r="I21" i="2"/>
  <c r="I13" i="2"/>
  <c r="J13" i="2" s="1"/>
  <c r="K13" i="2" s="1"/>
  <c r="L13" i="2" s="1"/>
  <c r="M13" i="2" s="1"/>
  <c r="I11" i="2"/>
  <c r="J11" i="2" s="1"/>
  <c r="K11" i="2" s="1"/>
  <c r="L11" i="2" s="1"/>
  <c r="M11" i="2" s="1"/>
  <c r="F20" i="2"/>
  <c r="G20" i="2"/>
  <c r="H20" i="2"/>
  <c r="F19" i="2"/>
  <c r="H19" i="2"/>
  <c r="F18" i="2"/>
  <c r="H18" i="2"/>
  <c r="E18" i="2"/>
  <c r="F17" i="2"/>
  <c r="G17" i="2"/>
  <c r="H17" i="2"/>
  <c r="E17" i="2"/>
  <c r="K17" i="2" s="1"/>
  <c r="G15" i="2"/>
  <c r="G16" i="2"/>
  <c r="H16" i="2"/>
  <c r="F16" i="2"/>
  <c r="E16" i="2"/>
  <c r="H15" i="2"/>
  <c r="F15" i="2"/>
  <c r="E15" i="2"/>
  <c r="M15" i="2" s="1"/>
  <c r="F12" i="2"/>
  <c r="G12" i="2"/>
  <c r="H12" i="2"/>
  <c r="E12" i="2"/>
  <c r="J12" i="2" s="1"/>
  <c r="F10" i="2"/>
  <c r="G10" i="2"/>
  <c r="H10" i="2"/>
  <c r="E10" i="2"/>
  <c r="L10" i="2" s="1"/>
  <c r="H9" i="2"/>
  <c r="F9" i="2"/>
  <c r="G9" i="2"/>
  <c r="E9" i="2"/>
  <c r="K9" i="2" s="1"/>
  <c r="H8" i="2"/>
  <c r="G8" i="2"/>
  <c r="F8" i="2"/>
  <c r="M8" i="2" s="1"/>
  <c r="H102" i="2"/>
  <c r="F97" i="2"/>
  <c r="G97" i="2"/>
  <c r="H97" i="2"/>
  <c r="E97" i="2"/>
  <c r="G88" i="2"/>
  <c r="F88" i="2"/>
  <c r="H88" i="2"/>
  <c r="E88" i="2"/>
  <c r="F76" i="2"/>
  <c r="F77" i="2" s="1"/>
  <c r="G76" i="2"/>
  <c r="G77" i="2" s="1"/>
  <c r="G115" i="2" s="1"/>
  <c r="H76" i="2"/>
  <c r="H77" i="2" s="1"/>
  <c r="F72" i="2"/>
  <c r="F114" i="2" s="1"/>
  <c r="H72" i="2"/>
  <c r="H114" i="2" s="1"/>
  <c r="E72" i="2"/>
  <c r="E114" i="2" s="1"/>
  <c r="G68" i="2"/>
  <c r="G113" i="2" s="1"/>
  <c r="E67" i="2"/>
  <c r="E68" i="2" s="1"/>
  <c r="E113" i="2" s="1"/>
  <c r="F67" i="2"/>
  <c r="F68" i="2" s="1"/>
  <c r="F113" i="2" s="1"/>
  <c r="G67" i="2"/>
  <c r="G56" i="2"/>
  <c r="F56" i="2"/>
  <c r="E56" i="2"/>
  <c r="F52" i="2"/>
  <c r="F57" i="2" s="1"/>
  <c r="G52" i="2"/>
  <c r="E52" i="2"/>
  <c r="E57" i="2" s="1"/>
  <c r="F47" i="2"/>
  <c r="G47" i="2"/>
  <c r="E47" i="2"/>
  <c r="E2" i="2"/>
  <c r="F2" i="2" s="1"/>
  <c r="G2" i="2" s="1"/>
  <c r="H2" i="2" s="1"/>
  <c r="F79" i="2" l="1"/>
  <c r="F115" i="2"/>
  <c r="J15" i="2"/>
  <c r="K8" i="2"/>
  <c r="I8" i="2"/>
  <c r="I30" i="2" s="1"/>
  <c r="M9" i="2"/>
  <c r="K15" i="2"/>
  <c r="H91" i="2"/>
  <c r="H92" i="2" s="1"/>
  <c r="M17" i="2"/>
  <c r="J16" i="2"/>
  <c r="G57" i="2"/>
  <c r="L17" i="2"/>
  <c r="H37" i="2"/>
  <c r="H14" i="2"/>
  <c r="H115" i="2"/>
  <c r="H79" i="2"/>
  <c r="I20" i="2"/>
  <c r="L20" i="2"/>
  <c r="L76" i="2" s="1"/>
  <c r="M20" i="2"/>
  <c r="M76" i="2" s="1"/>
  <c r="J20" i="2"/>
  <c r="J76" i="2" s="1"/>
  <c r="K20" i="2"/>
  <c r="K76" i="2" s="1"/>
  <c r="J10" i="2"/>
  <c r="I17" i="2"/>
  <c r="L8" i="2"/>
  <c r="I12" i="2"/>
  <c r="J17" i="2"/>
  <c r="I26" i="2"/>
  <c r="I9" i="2"/>
  <c r="I27" i="2" s="1"/>
  <c r="I90" i="2" s="1"/>
  <c r="M12" i="2"/>
  <c r="H57" i="2"/>
  <c r="G18" i="2"/>
  <c r="J9" i="2"/>
  <c r="L9" i="2"/>
  <c r="K10" i="2"/>
  <c r="E77" i="2"/>
  <c r="E19" i="2"/>
  <c r="G79" i="2"/>
  <c r="I15" i="2"/>
  <c r="G19" i="2"/>
  <c r="I10" i="2"/>
  <c r="E91" i="2"/>
  <c r="M10" i="2"/>
  <c r="L15" i="2"/>
  <c r="G91" i="2"/>
  <c r="F91" i="2"/>
  <c r="F92" i="2" s="1"/>
  <c r="L12" i="2"/>
  <c r="G96" i="2"/>
  <c r="J8" i="2"/>
  <c r="J30" i="2" s="1"/>
  <c r="K12" i="2"/>
  <c r="M16" i="2"/>
  <c r="I16" i="2"/>
  <c r="L16" i="2"/>
  <c r="K16" i="2"/>
  <c r="F80" i="2"/>
  <c r="G95" i="2"/>
  <c r="H95" i="2" s="1"/>
  <c r="E14" i="2"/>
  <c r="L21" i="2"/>
  <c r="M21" i="2" s="1"/>
  <c r="G101" i="2"/>
  <c r="H101" i="2" s="1"/>
  <c r="I2" i="2"/>
  <c r="J2" i="2" s="1"/>
  <c r="K2" i="2" s="1"/>
  <c r="L2" i="2" s="1"/>
  <c r="M2" i="2" s="1"/>
  <c r="K30" i="2" l="1"/>
  <c r="J19" i="2"/>
  <c r="J102" i="2" s="1"/>
  <c r="J75" i="2" s="1"/>
  <c r="J77" i="2" s="1"/>
  <c r="J115" i="2" s="1"/>
  <c r="K19" i="2"/>
  <c r="K102" i="2" s="1"/>
  <c r="K75" i="2" s="1"/>
  <c r="K77" i="2" s="1"/>
  <c r="K115" i="2" s="1"/>
  <c r="L19" i="2"/>
  <c r="L102" i="2" s="1"/>
  <c r="L75" i="2" s="1"/>
  <c r="L77" i="2" s="1"/>
  <c r="L115" i="2" s="1"/>
  <c r="M19" i="2"/>
  <c r="M102" i="2" s="1"/>
  <c r="M75" i="2" s="1"/>
  <c r="M77" i="2" s="1"/>
  <c r="M115" i="2" s="1"/>
  <c r="I19" i="2"/>
  <c r="E79" i="2"/>
  <c r="E115" i="2"/>
  <c r="I18" i="2"/>
  <c r="I71" i="2" s="1"/>
  <c r="J18" i="2"/>
  <c r="J71" i="2" s="1"/>
  <c r="K18" i="2"/>
  <c r="K71" i="2" s="1"/>
  <c r="M18" i="2"/>
  <c r="M71" i="2" s="1"/>
  <c r="I76" i="2"/>
  <c r="I54" i="2"/>
  <c r="J54" i="2" s="1"/>
  <c r="K54" i="2" s="1"/>
  <c r="L54" i="2" s="1"/>
  <c r="M54" i="2" s="1"/>
  <c r="G92" i="2"/>
  <c r="J26" i="2"/>
  <c r="I44" i="2"/>
  <c r="I88" i="2"/>
  <c r="I31" i="2"/>
  <c r="I33" i="2" s="1"/>
  <c r="I110" i="2"/>
  <c r="I45" i="2"/>
  <c r="L18" i="2"/>
  <c r="L71" i="2" s="1"/>
  <c r="I28" i="2"/>
  <c r="I89" i="2"/>
  <c r="I50" i="2"/>
  <c r="I97" i="2"/>
  <c r="I66" i="2" s="1"/>
  <c r="G80" i="2"/>
  <c r="G33" i="2"/>
  <c r="G34" i="2" s="1"/>
  <c r="F33" i="2"/>
  <c r="F34" i="2" s="1"/>
  <c r="I34" i="2" l="1"/>
  <c r="F14" i="2"/>
  <c r="F37" i="2"/>
  <c r="K72" i="2"/>
  <c r="K114" i="2" s="1"/>
  <c r="K96" i="2"/>
  <c r="J72" i="2"/>
  <c r="J114" i="2" s="1"/>
  <c r="J96" i="2"/>
  <c r="I72" i="2"/>
  <c r="I114" i="2" s="1"/>
  <c r="I96" i="2"/>
  <c r="I98" i="2" s="1"/>
  <c r="J95" i="2" s="1"/>
  <c r="L72" i="2"/>
  <c r="L114" i="2" s="1"/>
  <c r="L96" i="2"/>
  <c r="I102" i="2"/>
  <c r="I51" i="2"/>
  <c r="J51" i="2" s="1"/>
  <c r="K51" i="2" s="1"/>
  <c r="L51" i="2" s="1"/>
  <c r="M51" i="2" s="1"/>
  <c r="K26" i="2"/>
  <c r="J44" i="2"/>
  <c r="J31" i="2"/>
  <c r="J33" i="2" s="1"/>
  <c r="J110" i="2"/>
  <c r="J27" i="2"/>
  <c r="J88" i="2"/>
  <c r="J28" i="2"/>
  <c r="M96" i="2"/>
  <c r="M72" i="2"/>
  <c r="M114" i="2" s="1"/>
  <c r="I111" i="2"/>
  <c r="I91" i="2"/>
  <c r="L30" i="2"/>
  <c r="G37" i="2"/>
  <c r="G14" i="2"/>
  <c r="H80" i="2"/>
  <c r="I46" i="2"/>
  <c r="J97" i="2"/>
  <c r="J66" i="2" s="1"/>
  <c r="L26" i="2" l="1"/>
  <c r="K44" i="2"/>
  <c r="K110" i="2"/>
  <c r="K27" i="2"/>
  <c r="K88" i="2"/>
  <c r="K31" i="2"/>
  <c r="K33" i="2" s="1"/>
  <c r="K28" i="2"/>
  <c r="I75" i="2"/>
  <c r="I77" i="2" s="1"/>
  <c r="I115" i="2" s="1"/>
  <c r="I103" i="2"/>
  <c r="J101" i="2" s="1"/>
  <c r="J103" i="2" s="1"/>
  <c r="K101" i="2" s="1"/>
  <c r="K103" i="2" s="1"/>
  <c r="L101" i="2" s="1"/>
  <c r="L103" i="2" s="1"/>
  <c r="M101" i="2" s="1"/>
  <c r="M103" i="2" s="1"/>
  <c r="M30" i="2"/>
  <c r="I92" i="2"/>
  <c r="I67" i="2" s="1"/>
  <c r="I52" i="2"/>
  <c r="J111" i="2"/>
  <c r="J34" i="2"/>
  <c r="J36" i="2" s="1"/>
  <c r="J37" i="2" s="1"/>
  <c r="J65" i="2" s="1"/>
  <c r="J90" i="2"/>
  <c r="J91" i="2" s="1"/>
  <c r="J92" i="2" s="1"/>
  <c r="J67" i="2" s="1"/>
  <c r="J89" i="2"/>
  <c r="J45" i="2"/>
  <c r="J50" i="2"/>
  <c r="J52" i="2" s="1"/>
  <c r="L14" i="2"/>
  <c r="M14" i="2"/>
  <c r="K14" i="2"/>
  <c r="J14" i="2"/>
  <c r="I14" i="2"/>
  <c r="I36" i="2" s="1"/>
  <c r="I37" i="2" s="1"/>
  <c r="J98" i="2"/>
  <c r="K95" i="2" s="1"/>
  <c r="K97" i="2" s="1"/>
  <c r="I55" i="2"/>
  <c r="I65" i="2"/>
  <c r="J68" i="2" l="1"/>
  <c r="J113" i="2" s="1"/>
  <c r="I68" i="2"/>
  <c r="I79" i="2" s="1"/>
  <c r="I81" i="2" s="1"/>
  <c r="J80" i="2" s="1"/>
  <c r="K111" i="2"/>
  <c r="K34" i="2"/>
  <c r="K36" i="2" s="1"/>
  <c r="K37" i="2" s="1"/>
  <c r="K65" i="2" s="1"/>
  <c r="K50" i="2"/>
  <c r="K52" i="2" s="1"/>
  <c r="K90" i="2"/>
  <c r="K89" i="2"/>
  <c r="K91" i="2" s="1"/>
  <c r="K92" i="2" s="1"/>
  <c r="K67" i="2" s="1"/>
  <c r="K45" i="2"/>
  <c r="L27" i="2"/>
  <c r="L110" i="2"/>
  <c r="L31" i="2"/>
  <c r="L33" i="2" s="1"/>
  <c r="L88" i="2"/>
  <c r="M26" i="2"/>
  <c r="L44" i="2"/>
  <c r="L28" i="2"/>
  <c r="J46" i="2"/>
  <c r="J79" i="2"/>
  <c r="I113" i="2"/>
  <c r="J55" i="2"/>
  <c r="I56" i="2"/>
  <c r="I57" i="2" s="1"/>
  <c r="K98" i="2"/>
  <c r="K66" i="2"/>
  <c r="L34" i="2" l="1"/>
  <c r="L36" i="2" s="1"/>
  <c r="L37" i="2" s="1"/>
  <c r="L65" i="2" s="1"/>
  <c r="L111" i="2"/>
  <c r="L90" i="2"/>
  <c r="L45" i="2"/>
  <c r="L89" i="2"/>
  <c r="L91" i="2" s="1"/>
  <c r="L92" i="2" s="1"/>
  <c r="L67" i="2" s="1"/>
  <c r="L50" i="2"/>
  <c r="L52" i="2" s="1"/>
  <c r="M27" i="2"/>
  <c r="M31" i="2"/>
  <c r="M33" i="2" s="1"/>
  <c r="M110" i="2"/>
  <c r="M88" i="2"/>
  <c r="M44" i="2"/>
  <c r="M28" i="2"/>
  <c r="K68" i="2"/>
  <c r="I43" i="2"/>
  <c r="I47" i="2" s="1"/>
  <c r="K113" i="2"/>
  <c r="K79" i="2"/>
  <c r="K55" i="2"/>
  <c r="J56" i="2"/>
  <c r="J57" i="2" s="1"/>
  <c r="J81" i="2"/>
  <c r="K80" i="2" s="1"/>
  <c r="L95" i="2"/>
  <c r="K46" i="2"/>
  <c r="M111" i="2" l="1"/>
  <c r="M34" i="2"/>
  <c r="M90" i="2"/>
  <c r="M89" i="2"/>
  <c r="M91" i="2" s="1"/>
  <c r="M92" i="2" s="1"/>
  <c r="M67" i="2" s="1"/>
  <c r="M50" i="2"/>
  <c r="M52" i="2" s="1"/>
  <c r="M45" i="2"/>
  <c r="L55" i="2"/>
  <c r="K56" i="2"/>
  <c r="K57" i="2" s="1"/>
  <c r="J43" i="2"/>
  <c r="J47" i="2" s="1"/>
  <c r="K81" i="2"/>
  <c r="L97" i="2"/>
  <c r="L66" i="2" s="1"/>
  <c r="L68" i="2" s="1"/>
  <c r="M36" i="2" l="1"/>
  <c r="M37" i="2" s="1"/>
  <c r="M65" i="2" s="1"/>
  <c r="L98" i="2"/>
  <c r="M95" i="2" s="1"/>
  <c r="M97" i="2" s="1"/>
  <c r="L79" i="2"/>
  <c r="L113" i="2"/>
  <c r="L56" i="2"/>
  <c r="L57" i="2" s="1"/>
  <c r="L80" i="2"/>
  <c r="K43" i="2"/>
  <c r="K47" i="2" s="1"/>
  <c r="M55" i="2" l="1"/>
  <c r="M56" i="2" s="1"/>
  <c r="M57" i="2" s="1"/>
  <c r="L46" i="2"/>
  <c r="L81" i="2"/>
  <c r="M80" i="2" s="1"/>
  <c r="M98" i="2"/>
  <c r="M46" i="2" s="1"/>
  <c r="M66" i="2"/>
  <c r="M68" i="2" s="1"/>
  <c r="L43" i="2" l="1"/>
  <c r="L47" i="2" s="1"/>
  <c r="M113" i="2"/>
  <c r="M79" i="2"/>
  <c r="M81" i="2" s="1"/>
  <c r="M43" i="2" s="1"/>
  <c r="M4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J12" authorId="0" shapeId="0" xr:uid="{57C768C9-8F78-4417-9B7B-A8A26647A626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K12" authorId="0" shapeId="0" xr:uid="{656051B4-ECC3-43F7-AA8F-0C0F1C182909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L12" authorId="0" shapeId="0" xr:uid="{37C10FF0-B907-491B-B1DF-C19B067EB726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M12" authorId="0" shapeId="0" xr:uid="{18D94374-0252-486E-B72F-DD95AA956965}">
      <text>
        <r>
          <rPr>
            <sz val="11"/>
            <color theme="1"/>
            <rFont val="Calibri"/>
            <family val="2"/>
            <scheme val="minor"/>
          </rPr>
          <t xml:space="preserve">
% of opening PP&amp;E</t>
        </r>
      </text>
    </comment>
    <comment ref="A10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ID#AAAAqQiQ8JM
CFI    (2023-02-13 21:11:43)
We are using term debt/bond in this example so there's no compounding interest. To learn more about revolver and compound interest, take our LBO modeling course.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ubhEm48HDhyUiKA9AhkULVfZX8g=="/>
    </ext>
  </extLst>
</comments>
</file>

<file path=xl/sharedStrings.xml><?xml version="1.0" encoding="utf-8"?>
<sst xmlns="http://schemas.openxmlformats.org/spreadsheetml/2006/main" count="176" uniqueCount="80">
  <si>
    <t>Historical Results</t>
  </si>
  <si>
    <t xml:space="preserve"> Forecast Period</t>
  </si>
  <si>
    <t>Assumptions</t>
  </si>
  <si>
    <t>Revenue Growth (% Change)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</si>
  <si>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</si>
  <si>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</si>
  <si>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</si>
  <si>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</si>
  <si>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</si>
  <si>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</si>
  <si>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</si>
  <si>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</si>
  <si>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</si>
  <si>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</si>
  <si>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</si>
  <si>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</si>
  <si>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Income Statement</t>
  </si>
  <si>
    <t>Revenue</t>
  </si>
  <si>
    <t>Cost of Goods Sold (COGS)</t>
  </si>
  <si>
    <t>Gross Profit</t>
  </si>
  <si>
    <t>Expenses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</si>
  <si>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</si>
  <si>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</si>
  <si>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</si>
  <si>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</si>
  <si>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</si>
  <si>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</si>
  <si>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</si>
  <si>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</si>
  <si>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</si>
  <si>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</si>
  <si>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</si>
  <si>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</si>
  <si>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</si>
  <si>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Debt</t>
  </si>
  <si>
    <t>Total Liabilities</t>
  </si>
  <si>
    <t>Shareholder's Equity</t>
  </si>
  <si>
    <t>Equity Capital</t>
  </si>
  <si>
    <t>Retained Earnings</t>
  </si>
  <si>
    <t>Total Liabilities &amp; Shareholder's Equity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</si>
  <si>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</si>
  <si>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</si>
  <si>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</si>
  <si>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</si>
  <si>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</si>
  <si>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</si>
  <si>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</si>
  <si>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</si>
  <si>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</si>
  <si>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</si>
  <si>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</si>
  <si>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</si>
  <si>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</si>
  <si>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</si>
  <si>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</si>
  <si>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</si>
  <si>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</si>
  <si>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</si>
  <si>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</si>
  <si>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</si>
  <si>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</si>
  <si>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</si>
  <si>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</si>
  <si>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</si>
  <si>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</si>
  <si>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</si>
  <si>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</si>
  <si>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</si>
  <si>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</si>
  <si>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Charts and Graphs</t>
  </si>
  <si>
    <t>Gross Profit Margin (%)</t>
  </si>
  <si>
    <t xml:space="preserve"> </t>
  </si>
  <si>
    <t>3-Statement Model</t>
  </si>
  <si>
    <t>Days in Period</t>
  </si>
  <si>
    <t>Key Assumptions</t>
  </si>
  <si>
    <t>Research and Development Expenses</t>
  </si>
  <si>
    <t>SG&amp;A Expenses</t>
  </si>
  <si>
    <t>Other Operating Income or Expenses</t>
  </si>
  <si>
    <t>-</t>
  </si>
  <si>
    <t>In Millions of US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</si>
</sst>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(#,##0\)_-;_-* &quot;-&quot;_-;_-@"/>
    <numFmt numFmtId="165" formatCode="0.0%"/>
    <numFmt numFmtId="166" formatCode="_(* #,##0_);_(* \(#,##0\);_(* &quot;-&quot;??_);_(@_)"/>
    <numFmt numFmtId="167" formatCode="_-* #,##0_-;\-* #,##0_-;_-* &quot;-&quot;??_-;_-@"/>
    <numFmt numFmtId="168" formatCode="0.0000_ ;\-0.0000\ "/>
    <numFmt numFmtId="169" formatCode="_(#,##0_)_%;\(#,##0\)_%;_(&quot;–&quot;_)_%;_(@_)_%"/>
    <numFmt numFmtId="170" formatCode="0.0"/>
  </numFmts>
  <fonts count="3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b/>
      <sz val="14"/>
      <color theme="0"/>
      <name val="Arial Narrow"/>
      <family val="2"/>
    </font>
    <font>
      <sz val="14"/>
      <color theme="1"/>
      <name val="Arial Narrow"/>
      <family val="2"/>
    </font>
    <font>
      <i/>
      <sz val="12"/>
      <color theme="1"/>
      <name val="Arial Narrow"/>
      <family val="2"/>
    </font>
    <font>
      <sz val="12"/>
      <color rgb="FF0000FF"/>
      <name val="Arial Narrow"/>
      <family val="2"/>
    </font>
    <font>
      <b/>
      <sz val="12"/>
      <color theme="1"/>
      <name val="Arial Narrow"/>
      <family val="2"/>
    </font>
    <font>
      <b/>
      <sz val="12"/>
      <color rgb="FF0000FF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sz val="11"/>
      <name val="Open Sans"/>
      <family val="2"/>
    </font>
    <font>
      <sz val="11"/>
      <color theme="1"/>
      <name val="Open Sans"/>
      <family val="2"/>
    </font>
    <font>
      <b/>
      <sz val="14"/>
      <color rgb="FF132E57"/>
      <name val="Open Sans"/>
      <family val="2"/>
    </font>
    <font>
      <b/>
      <sz val="11"/>
      <color theme="1"/>
      <name val="Open Sans"/>
      <family val="2"/>
    </font>
    <font>
      <sz val="10"/>
      <color theme="1"/>
      <name val="Open Sans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rgb="FF002060"/>
      <name val="Open Sans"/>
      <family val="2"/>
    </font>
    <font>
      <sz val="9"/>
      <color theme="1"/>
      <name val="Open Sans"/>
      <family val="2"/>
    </font>
    <font>
      <sz val="9"/>
      <color theme="1" tint="0.249977111117893"/>
      <name val="Open Sans"/>
      <family val="2"/>
    </font>
    <font>
      <i/>
      <sz val="10"/>
      <color theme="1"/>
      <name val="Arial Narrow"/>
      <family val="2"/>
    </font>
    <font>
      <b/>
      <sz val="20"/>
      <color rgb="FFC88800"/>
      <name val="Open Sans"/>
      <family val="2"/>
    </font>
    <font>
      <b/>
      <sz val="20"/>
      <color theme="9"/>
      <name val="Open Sans"/>
      <family val="2"/>
    </font>
    <font>
      <sz val="20"/>
      <color rgb="FF707000"/>
      <name val="Times New Roman"/>
      <family val="1"/>
    </font>
    <font>
      <sz val="8"/>
      <color theme="8" tint="-0.249977111117893"/>
      <name val="Arial Narrow"/>
      <family val="2"/>
    </font>
    <font>
      <sz val="12"/>
      <color theme="8" tint="-0.249977111117893"/>
      <name val="Arial Narrow"/>
      <family val="2"/>
    </font>
    <font>
      <b/>
      <sz val="14"/>
      <color theme="8" tint="-0.249977111117893"/>
      <name val="Arial Narrow"/>
      <family val="2"/>
    </font>
    <font>
      <sz val="11"/>
      <name val="Arial Narrow"/>
      <family val="2"/>
    </font>
    <font>
      <b/>
      <sz val="14"/>
      <color rgb="FF996633"/>
      <name val="Arial Narrow"/>
      <family val="2"/>
    </font>
    <font>
      <b/>
      <sz val="14"/>
      <color rgb="FF3271D2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E7F2FF"/>
        <bgColor rgb="FFED942D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8" tint="-0.249977111117893"/>
        <bgColor rgb="FF132E57"/>
      </patternFill>
    </fill>
    <fill>
      <patternFill patternType="solid">
        <fgColor rgb="FFCC6600"/>
        <bgColor rgb="FF132E57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rgb="FF1E8496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C3F"/>
      </left>
      <right/>
      <top style="medium">
        <color rgb="FF000C3F"/>
      </top>
      <bottom/>
      <diagonal/>
    </border>
    <border>
      <left/>
      <right/>
      <top style="medium">
        <color rgb="FF000C3F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medium">
        <color rgb="FF000C3F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/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5"/>
    <xf numFmtId="0" fontId="18" fillId="0" borderId="5" applyNumberFormat="0" applyFill="0" applyBorder="0" applyAlignment="0" applyProtection="0"/>
    <xf numFmtId="0" fontId="19" fillId="0" borderId="5"/>
    <xf numFmtId="0" fontId="18" fillId="0" borderId="5" applyNumberFormat="0" applyFill="0" applyBorder="0" applyAlignment="0" applyProtection="0"/>
  </cellStyleXfs>
  <cellXfs count="90">
    <xf numFmtId="0" fontId="0" fillId="0" borderId="0" xfId="0"/>
    <xf numFmtId="164" fontId="3" fillId="0" borderId="0" xfId="0" applyNumberFormat="1" applyFont="1"/>
    <xf numFmtId="164" fontId="6" fillId="0" borderId="0" xfId="0" applyNumberFormat="1" applyFont="1"/>
    <xf numFmtId="164" fontId="3" fillId="0" borderId="0" xfId="0" applyNumberFormat="1" applyFont="1" applyAlignment="1">
      <alignment horizontal="center"/>
    </xf>
    <xf numFmtId="164" fontId="8" fillId="0" borderId="0" xfId="0" applyNumberFormat="1" applyFont="1"/>
    <xf numFmtId="164" fontId="9" fillId="0" borderId="0" xfId="0" applyNumberFormat="1" applyFont="1"/>
    <xf numFmtId="164" fontId="3" fillId="0" borderId="2" xfId="0" applyNumberFormat="1" applyFont="1" applyBorder="1"/>
    <xf numFmtId="164" fontId="9" fillId="0" borderId="2" xfId="0" applyNumberFormat="1" applyFont="1" applyBorder="1"/>
    <xf numFmtId="164" fontId="9" fillId="0" borderId="2" xfId="0" applyNumberFormat="1" applyFont="1" applyBorder="1" applyAlignment="1">
      <alignment horizontal="center"/>
    </xf>
    <xf numFmtId="165" fontId="3" fillId="0" borderId="0" xfId="0" applyNumberFormat="1" applyFont="1"/>
    <xf numFmtId="165" fontId="8" fillId="0" borderId="0" xfId="0" applyNumberFormat="1" applyFont="1"/>
    <xf numFmtId="164" fontId="7" fillId="0" borderId="0" xfId="0" applyNumberFormat="1" applyFont="1"/>
    <xf numFmtId="164" fontId="7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10" fillId="0" borderId="0" xfId="0" applyNumberFormat="1" applyFont="1"/>
    <xf numFmtId="166" fontId="3" fillId="0" borderId="0" xfId="0" applyNumberFormat="1" applyFont="1"/>
    <xf numFmtId="9" fontId="10" fillId="0" borderId="0" xfId="0" applyNumberFormat="1" applyFont="1"/>
    <xf numFmtId="164" fontId="9" fillId="0" borderId="6" xfId="0" applyNumberFormat="1" applyFont="1" applyBorder="1"/>
    <xf numFmtId="164" fontId="9" fillId="0" borderId="6" xfId="0" applyNumberFormat="1" applyFont="1" applyBorder="1" applyAlignment="1">
      <alignment horizontal="center"/>
    </xf>
    <xf numFmtId="167" fontId="3" fillId="0" borderId="0" xfId="0" applyNumberFormat="1" applyFont="1"/>
    <xf numFmtId="164" fontId="9" fillId="0" borderId="7" xfId="0" applyNumberFormat="1" applyFont="1" applyBorder="1"/>
    <xf numFmtId="164" fontId="9" fillId="0" borderId="7" xfId="0" applyNumberFormat="1" applyFont="1" applyBorder="1" applyAlignment="1">
      <alignment horizontal="center"/>
    </xf>
    <xf numFmtId="168" fontId="7" fillId="0" borderId="0" xfId="0" applyNumberFormat="1" applyFont="1"/>
    <xf numFmtId="168" fontId="7" fillId="0" borderId="0" xfId="0" applyNumberFormat="1" applyFont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9" fontId="3" fillId="0" borderId="0" xfId="0" applyNumberFormat="1" applyFont="1"/>
    <xf numFmtId="0" fontId="14" fillId="0" borderId="14" xfId="1" applyFont="1" applyBorder="1"/>
    <xf numFmtId="0" fontId="14" fillId="0" borderId="5" xfId="1" applyFont="1"/>
    <xf numFmtId="0" fontId="14" fillId="0" borderId="13" xfId="1" applyFont="1" applyBorder="1"/>
    <xf numFmtId="0" fontId="15" fillId="0" borderId="5" xfId="1" applyFont="1" applyAlignment="1">
      <alignment horizontal="right"/>
    </xf>
    <xf numFmtId="0" fontId="14" fillId="0" borderId="5" xfId="1" applyFont="1" applyProtection="1">
      <protection locked="0"/>
    </xf>
    <xf numFmtId="0" fontId="16" fillId="0" borderId="5" xfId="1" applyFont="1"/>
    <xf numFmtId="0" fontId="17" fillId="0" borderId="5" xfId="1" applyFont="1"/>
    <xf numFmtId="0" fontId="19" fillId="0" borderId="5" xfId="3"/>
    <xf numFmtId="0" fontId="20" fillId="0" borderId="5" xfId="4" applyFont="1" applyFill="1" applyBorder="1" applyProtection="1">
      <protection locked="0"/>
    </xf>
    <xf numFmtId="0" fontId="2" fillId="3" borderId="1" xfId="0" applyFont="1" applyFill="1" applyBorder="1"/>
    <xf numFmtId="0" fontId="0" fillId="2" borderId="0" xfId="0" applyFill="1"/>
    <xf numFmtId="0" fontId="2" fillId="3" borderId="5" xfId="0" applyFont="1" applyFill="1" applyBorder="1"/>
    <xf numFmtId="0" fontId="21" fillId="0" borderId="14" xfId="1" applyFont="1" applyBorder="1"/>
    <xf numFmtId="0" fontId="21" fillId="0" borderId="13" xfId="1" applyFont="1" applyBorder="1"/>
    <xf numFmtId="169" fontId="22" fillId="4" borderId="5" xfId="1" applyNumberFormat="1" applyFont="1" applyFill="1"/>
    <xf numFmtId="0" fontId="22" fillId="4" borderId="5" xfId="1" applyFont="1" applyFill="1"/>
    <xf numFmtId="0" fontId="21" fillId="0" borderId="15" xfId="1" applyFont="1" applyBorder="1"/>
    <xf numFmtId="0" fontId="21" fillId="0" borderId="16" xfId="1" applyFont="1" applyBorder="1"/>
    <xf numFmtId="0" fontId="21" fillId="0" borderId="17" xfId="1" applyFont="1" applyBorder="1"/>
    <xf numFmtId="164" fontId="23" fillId="0" borderId="0" xfId="0" applyNumberFormat="1" applyFont="1"/>
    <xf numFmtId="164" fontId="23" fillId="0" borderId="0" xfId="0" applyNumberFormat="1" applyFont="1" applyAlignment="1">
      <alignment horizontal="center"/>
    </xf>
    <xf numFmtId="164" fontId="23" fillId="0" borderId="0" xfId="0" applyNumberFormat="1" applyFont="1" applyAlignment="1">
      <alignment horizontal="right"/>
    </xf>
    <xf numFmtId="0" fontId="24" fillId="0" borderId="5" xfId="1" applyFont="1" applyProtection="1">
      <protection locked="0"/>
    </xf>
    <xf numFmtId="0" fontId="13" fillId="5" borderId="8" xfId="0" applyFont="1" applyFill="1" applyBorder="1"/>
    <xf numFmtId="0" fontId="13" fillId="5" borderId="9" xfId="0" applyFont="1" applyFill="1" applyBorder="1"/>
    <xf numFmtId="0" fontId="14" fillId="6" borderId="10" xfId="1" applyFont="1" applyFill="1" applyBorder="1"/>
    <xf numFmtId="0" fontId="14" fillId="6" borderId="11" xfId="1" applyFont="1" applyFill="1" applyBorder="1"/>
    <xf numFmtId="0" fontId="13" fillId="5" borderId="12" xfId="0" applyFont="1" applyFill="1" applyBorder="1"/>
    <xf numFmtId="0" fontId="13" fillId="5" borderId="0" xfId="0" applyFont="1" applyFill="1"/>
    <xf numFmtId="0" fontId="14" fillId="6" borderId="5" xfId="1" applyFont="1" applyFill="1"/>
    <xf numFmtId="0" fontId="14" fillId="6" borderId="13" xfId="1" applyFont="1" applyFill="1" applyBorder="1"/>
    <xf numFmtId="0" fontId="25" fillId="4" borderId="5" xfId="1" applyFont="1" applyFill="1"/>
    <xf numFmtId="169" fontId="26" fillId="4" borderId="5" xfId="1" applyNumberFormat="1" applyFont="1" applyFill="1"/>
    <xf numFmtId="0" fontId="5" fillId="7" borderId="1" xfId="0" applyFont="1" applyFill="1" applyBorder="1"/>
    <xf numFmtId="164" fontId="27" fillId="8" borderId="1" xfId="0" applyNumberFormat="1" applyFont="1" applyFill="1" applyBorder="1"/>
    <xf numFmtId="164" fontId="28" fillId="8" borderId="1" xfId="0" applyNumberFormat="1" applyFont="1" applyFill="1" applyBorder="1"/>
    <xf numFmtId="164" fontId="28" fillId="8" borderId="1" xfId="0" applyNumberFormat="1" applyFont="1" applyFill="1" applyBorder="1" applyAlignment="1">
      <alignment horizontal="center"/>
    </xf>
    <xf numFmtId="164" fontId="29" fillId="8" borderId="1" xfId="0" applyNumberFormat="1" applyFont="1" applyFill="1" applyBorder="1"/>
    <xf numFmtId="164" fontId="29" fillId="8" borderId="1" xfId="0" applyNumberFormat="1" applyFont="1" applyFill="1" applyBorder="1" applyAlignment="1">
      <alignment horizontal="center"/>
    </xf>
    <xf numFmtId="0" fontId="2" fillId="0" borderId="0" xfId="0" applyFont="1"/>
    <xf numFmtId="164" fontId="31" fillId="9" borderId="0" xfId="0" applyNumberFormat="1" applyFont="1" applyFill="1" applyAlignment="1">
      <alignment vertical="center"/>
    </xf>
    <xf numFmtId="0" fontId="32" fillId="9" borderId="0" xfId="0" applyFont="1" applyFill="1" applyAlignment="1">
      <alignment vertical="center"/>
    </xf>
    <xf numFmtId="0" fontId="31" fillId="9" borderId="0" xfId="0" applyFont="1" applyFill="1" applyAlignment="1">
      <alignment vertical="center"/>
    </xf>
    <xf numFmtId="164" fontId="2" fillId="0" borderId="0" xfId="0" applyNumberFormat="1" applyFont="1"/>
    <xf numFmtId="164" fontId="11" fillId="8" borderId="1" xfId="0" applyNumberFormat="1" applyFont="1" applyFill="1" applyBorder="1"/>
    <xf numFmtId="0" fontId="31" fillId="1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5" fillId="8" borderId="1" xfId="0" applyFont="1" applyFill="1" applyBorder="1"/>
    <xf numFmtId="0" fontId="32" fillId="11" borderId="0" xfId="0" applyFont="1" applyFill="1" applyAlignment="1">
      <alignment vertical="center"/>
    </xf>
    <xf numFmtId="0" fontId="12" fillId="12" borderId="1" xfId="0" applyFont="1" applyFill="1" applyBorder="1"/>
    <xf numFmtId="3" fontId="10" fillId="0" borderId="0" xfId="0" applyNumberFormat="1" applyFont="1"/>
    <xf numFmtId="10" fontId="3" fillId="0" borderId="2" xfId="0" applyNumberFormat="1" applyFont="1" applyBorder="1"/>
    <xf numFmtId="170" fontId="3" fillId="0" borderId="0" xfId="0" applyNumberFormat="1" applyFont="1"/>
    <xf numFmtId="165" fontId="3" fillId="0" borderId="5" xfId="0" applyNumberFormat="1" applyFont="1" applyBorder="1"/>
    <xf numFmtId="164" fontId="3" fillId="0" borderId="18" xfId="0" applyNumberFormat="1" applyFont="1" applyBorder="1"/>
    <xf numFmtId="9" fontId="8" fillId="0" borderId="2" xfId="0" applyNumberFormat="1" applyFont="1" applyBorder="1"/>
    <xf numFmtId="164" fontId="11" fillId="12" borderId="3" xfId="0" applyNumberFormat="1" applyFont="1" applyFill="1" applyBorder="1" applyAlignment="1">
      <alignment horizontal="center"/>
    </xf>
    <xf numFmtId="0" fontId="30" fillId="13" borderId="4" xfId="0" applyFont="1" applyFill="1" applyBorder="1"/>
    <xf numFmtId="0" fontId="30" fillId="13" borderId="5" xfId="0" applyFont="1" applyFill="1" applyBorder="1"/>
    <xf numFmtId="164" fontId="4" fillId="7" borderId="3" xfId="0" applyNumberFormat="1" applyFont="1" applyFill="1" applyBorder="1" applyAlignment="1">
      <alignment horizontal="center"/>
    </xf>
    <xf numFmtId="0" fontId="30" fillId="5" borderId="4" xfId="0" applyFont="1" applyFill="1" applyBorder="1"/>
    <xf numFmtId="0" fontId="30" fillId="5" borderId="5" xfId="0" applyFont="1" applyFill="1" applyBorder="1"/>
  </cellXfs>
  <cellStyles count="5">
    <cellStyle name="Hyperlink 2" xfId="2" xr:uid="{30FD4205-4283-4A6A-A64B-284F31D794C7}"/>
    <cellStyle name="Hyperlink 2 2" xfId="4" xr:uid="{5A0AA4A2-96E2-4DCB-8D0F-2E73B6D49FE2}"/>
    <cellStyle name="Normal" xfId="0" builtinId="0"/>
    <cellStyle name="Normal 2" xfId="3" xr:uid="{34DC7261-9ACC-4036-8A8C-A03CE005F23F}"/>
    <cellStyle name="Normal 2 2 2" xfId="1" xr:uid="{E616C273-7B25-47FB-AA32-803AF9F46522}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none"/>
      </fill>
    </dxf>
  </dxfs>
  <tableStyles count="0" defaultTableStyle="TableStyleMedium2" defaultPivotStyle="PivotStyleLight16"/>
  <colors>
    <mruColors>
      <color rgb="FFEFC76D"/>
      <color rgb="FFFF9966"/>
      <color rgb="FFCC6600"/>
      <color rgb="FF996600"/>
      <color rgb="FF996633"/>
      <color rgb="FF382D08"/>
      <color rgb="FF000C3F"/>
      <color rgb="FFE7F2FF"/>
      <color rgb="FF3271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Revenue &amp; Gross Profit Margin</a:t>
            </a:r>
          </a:p>
        </c:rich>
      </c:tx>
      <c:layout>
        <c:manualLayout>
          <c:xMode val="edge"/>
          <c:yMode val="edge"/>
          <c:x val="0.25405555555555548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'Three Statement Model'!$A$110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rgbClr val="3271D2"/>
            </a:solidFill>
            <a:ln cmpd="sng">
              <a:noFill/>
            </a:ln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'Three Statement Model'!$D$110:$M$110</c:f>
              <c:numCache>
                <c:formatCode>_-* #,##0_-;\(#,##0\)_-;_-* "-"_-;_-@</c:formatCode>
                <c:ptCount val="10"/>
                <c:pt idx="0">
                  <c:v>0</c:v>
                </c:pt>
                <c:pt idx="1">
                  <c:v>198270</c:v>
                </c:pt>
                <c:pt idx="2">
                  <c:v>211915</c:v>
                </c:pt>
                <c:pt idx="3">
                  <c:v>245122</c:v>
                </c:pt>
                <c:pt idx="4">
                  <c:v>281724</c:v>
                </c:pt>
                <c:pt idx="5">
                  <c:v>316924.61351708934</c:v>
                </c:pt>
                <c:pt idx="6">
                  <c:v>356523.44370006263</c:v>
                </c:pt>
                <c:pt idx="7">
                  <c:v>401070.03522747121</c:v>
                </c:pt>
                <c:pt idx="8">
                  <c:v>451182.59682438028</c:v>
                </c:pt>
                <c:pt idx="9">
                  <c:v>507556.58063992934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strRef>
              <c:f>'Three Statement Model'!$A$111</c:f>
              <c:strCache>
                <c:ptCount val="1"/>
                <c:pt idx="0">
                  <c:v> Gross Profit Margin (%)</c:v>
                </c:pt>
              </c:strCache>
            </c:strRef>
          </c:tx>
          <c:marker>
            <c:symbol val="none"/>
          </c:marker>
          <c:val>
            <c:numRef>
              <c:f>'Three Statement Model'!$D$111:$M$111</c:f>
              <c:numCache>
                <c:formatCode>0%</c:formatCode>
                <c:ptCount val="10"/>
                <c:pt idx="0">
                  <c:v>0</c:v>
                </c:pt>
                <c:pt idx="1">
                  <c:v>0.68401674484289099</c:v>
                </c:pt>
                <c:pt idx="2">
                  <c:v>0.68920085883491022</c:v>
                </c:pt>
                <c:pt idx="3">
                  <c:v>0.69764443827971379</c:v>
                </c:pt>
                <c:pt idx="4">
                  <c:v>0.68823742386165188</c:v>
                </c:pt>
                <c:pt idx="5">
                  <c:v>0.68977486645479169</c:v>
                </c:pt>
                <c:pt idx="6">
                  <c:v>0.68977486645479169</c:v>
                </c:pt>
                <c:pt idx="7">
                  <c:v>0.68977486645479169</c:v>
                </c:pt>
                <c:pt idx="8">
                  <c:v>0.68977486645479158</c:v>
                </c:pt>
                <c:pt idx="9">
                  <c:v>0.68977486645479169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1-4DBC-A134-01A9B805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  <c:dispUnitsLbl/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Cash Flow</a:t>
            </a:r>
          </a:p>
        </c:rich>
      </c:tx>
      <c:layout>
        <c:manualLayout>
          <c:xMode val="edge"/>
          <c:yMode val="edge"/>
          <c:x val="0.50641951006124231"/>
          <c:y val="9.05816120810985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7063283756198"/>
          <c:y val="8.2505991098938719E-2"/>
          <c:w val="0.76735564304461945"/>
          <c:h val="0.68390961999315303"/>
        </c:manualLayout>
      </c:layout>
      <c:barChart>
        <c:barDir val="col"/>
        <c:grouping val="stacked"/>
        <c:varyColors val="1"/>
        <c:ser>
          <c:idx val="1"/>
          <c:order val="0"/>
          <c:tx>
            <c:strRef>
              <c:f>'Three Statement Model'!$A$113</c:f>
              <c:strCache>
                <c:ptCount val="1"/>
                <c:pt idx="0">
                  <c:v> Operating Cash Flow</c:v>
                </c:pt>
              </c:strCache>
            </c:strRef>
          </c:tx>
          <c:spPr>
            <a:solidFill>
              <a:srgbClr val="3271D2"/>
            </a:solidFill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'Three Statement Model'!$D$113:$M$113</c:f>
              <c:numCache>
                <c:formatCode>_-* #,##0_-;\(#,##0\)_-;_-* "-"_-;_-@</c:formatCode>
                <c:ptCount val="10"/>
                <c:pt idx="0">
                  <c:v>0</c:v>
                </c:pt>
                <c:pt idx="1">
                  <c:v>86752</c:v>
                </c:pt>
                <c:pt idx="2">
                  <c:v>88880</c:v>
                </c:pt>
                <c:pt idx="3">
                  <c:v>108599</c:v>
                </c:pt>
                <c:pt idx="4">
                  <c:v>141335</c:v>
                </c:pt>
                <c:pt idx="5">
                  <c:v>145396.82654568669</c:v>
                </c:pt>
                <c:pt idx="6">
                  <c:v>159610.51299473821</c:v>
                </c:pt>
                <c:pt idx="7">
                  <c:v>176075.00255438493</c:v>
                </c:pt>
                <c:pt idx="8">
                  <c:v>194370.17057131467</c:v>
                </c:pt>
                <c:pt idx="9">
                  <c:v>214757.82744229172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A2A8-47A9-A19A-FCBBB5D3D5A8}"/>
            </c:ext>
          </c:extLst>
        </c:ser>
        <c:ser>
          <c:idx val="0"/>
          <c:order val="1"/>
          <c:tx>
            <c:strRef>
              <c:f>'Three Statement Model'!$A$114</c:f>
              <c:strCache>
                <c:ptCount val="1"/>
                <c:pt idx="0">
                  <c:v> Investing Cash Flow</c:v>
                </c:pt>
              </c:strCache>
            </c:strRef>
          </c:tx>
          <c:spPr>
            <a:solidFill>
              <a:srgbClr val="000C3F"/>
            </a:solidFill>
          </c:spPr>
          <c:invertIfNegative val="0"/>
          <c:val>
            <c:numRef>
              <c:f>'Three Statement Model'!$D$114:$M$114</c:f>
              <c:numCache>
                <c:formatCode>_-* #,##0_-;\(#,##0\)_-;_-* "-"_-;_-@</c:formatCode>
                <c:ptCount val="10"/>
                <c:pt idx="0">
                  <c:v>0</c:v>
                </c:pt>
                <c:pt idx="1">
                  <c:v>-23886</c:v>
                </c:pt>
                <c:pt idx="2">
                  <c:v>-28107</c:v>
                </c:pt>
                <c:pt idx="3">
                  <c:v>-44477</c:v>
                </c:pt>
                <c:pt idx="4">
                  <c:v>-64551</c:v>
                </c:pt>
                <c:pt idx="5">
                  <c:v>-40255.25</c:v>
                </c:pt>
                <c:pt idx="6">
                  <c:v>-40255.25</c:v>
                </c:pt>
                <c:pt idx="7">
                  <c:v>-40255.25</c:v>
                </c:pt>
                <c:pt idx="8">
                  <c:v>-40255.25</c:v>
                </c:pt>
                <c:pt idx="9">
                  <c:v>-40255.25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A8-47A9-A19A-FCBBB5D3D5A8}"/>
            </c:ext>
          </c:extLst>
        </c:ser>
        <c:ser>
          <c:idx val="2"/>
          <c:order val="2"/>
          <c:tx>
            <c:strRef>
              <c:f>'Three Statement Model'!$A$115</c:f>
              <c:strCache>
                <c:ptCount val="1"/>
                <c:pt idx="0">
                  <c:v> Financing Cash Flow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val>
            <c:numRef>
              <c:f>'Three Statement Model'!$D$115:$M$115</c:f>
              <c:numCache>
                <c:formatCode>_-* #,##0_-;\(#,##0\)_-;_-* "-"_-;_-@</c:formatCode>
                <c:ptCount val="10"/>
                <c:pt idx="0">
                  <c:v>0</c:v>
                </c:pt>
                <c:pt idx="1">
                  <c:v>-39878</c:v>
                </c:pt>
                <c:pt idx="2">
                  <c:v>-23129</c:v>
                </c:pt>
                <c:pt idx="3">
                  <c:v>-19927</c:v>
                </c:pt>
                <c:pt idx="4">
                  <c:v>-19580</c:v>
                </c:pt>
                <c:pt idx="5">
                  <c:v>-25628.5</c:v>
                </c:pt>
                <c:pt idx="6">
                  <c:v>-25628.5</c:v>
                </c:pt>
                <c:pt idx="7">
                  <c:v>-25628.5</c:v>
                </c:pt>
                <c:pt idx="8">
                  <c:v>-25628.5</c:v>
                </c:pt>
                <c:pt idx="9">
                  <c:v>-25628.5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8-47A9-A19A-FCBBB5D3D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39848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Revenue &amp; Gross Profit Margin</a:t>
            </a:r>
          </a:p>
        </c:rich>
      </c:tx>
      <c:layout>
        <c:manualLayout>
          <c:xMode val="edge"/>
          <c:yMode val="edge"/>
          <c:x val="0.25405555555555548"/>
          <c:y val="2.77777777777777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14371079432063"/>
          <c:y val="0.1056544562364487"/>
          <c:w val="0.7707335929414052"/>
          <c:h val="0.6945779603636502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'Three Statement Model'!$A$110</c:f>
              <c:strCache>
                <c:ptCount val="1"/>
                <c:pt idx="0">
                  <c:v> Revenue</c:v>
                </c:pt>
              </c:strCache>
            </c:strRef>
          </c:tx>
          <c:spPr>
            <a:solidFill>
              <a:srgbClr val="3271D2"/>
            </a:solidFill>
            <a:ln cmpd="sng">
              <a:noFill/>
            </a:ln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'Three Statement Model'!$D$110:$M$110</c:f>
              <c:numCache>
                <c:formatCode>_-* #,##0_-;\(#,##0\)_-;_-* "-"_-;_-@</c:formatCode>
                <c:ptCount val="10"/>
                <c:pt idx="0">
                  <c:v>0</c:v>
                </c:pt>
                <c:pt idx="1">
                  <c:v>198270</c:v>
                </c:pt>
                <c:pt idx="2">
                  <c:v>211915</c:v>
                </c:pt>
                <c:pt idx="3">
                  <c:v>245122</c:v>
                </c:pt>
                <c:pt idx="4">
                  <c:v>281724</c:v>
                </c:pt>
                <c:pt idx="5">
                  <c:v>316924.61351708934</c:v>
                </c:pt>
                <c:pt idx="6">
                  <c:v>356523.44370006263</c:v>
                </c:pt>
                <c:pt idx="7">
                  <c:v>401070.03522747121</c:v>
                </c:pt>
                <c:pt idx="8">
                  <c:v>451182.59682438028</c:v>
                </c:pt>
                <c:pt idx="9">
                  <c:v>507556.58063992934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42-4F89-840A-0AAC2CC75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7515175"/>
        <c:axId val="713451283"/>
      </c:barChart>
      <c:lineChart>
        <c:grouping val="standard"/>
        <c:varyColors val="1"/>
        <c:ser>
          <c:idx val="1"/>
          <c:order val="1"/>
          <c:tx>
            <c:strRef>
              <c:f>'Three Statement Model'!$A$111</c:f>
              <c:strCache>
                <c:ptCount val="1"/>
                <c:pt idx="0">
                  <c:v> Gross Profit Margin (%)</c:v>
                </c:pt>
              </c:strCache>
            </c:strRef>
          </c:tx>
          <c:marker>
            <c:symbol val="none"/>
          </c:marker>
          <c:val>
            <c:numRef>
              <c:f>'Three Statement Model'!$D$111:$M$111</c:f>
              <c:numCache>
                <c:formatCode>0%</c:formatCode>
                <c:ptCount val="10"/>
                <c:pt idx="0">
                  <c:v>0</c:v>
                </c:pt>
                <c:pt idx="1">
                  <c:v>0.68401674484289099</c:v>
                </c:pt>
                <c:pt idx="2">
                  <c:v>0.68920085883491022</c:v>
                </c:pt>
                <c:pt idx="3">
                  <c:v>0.69764443827971379</c:v>
                </c:pt>
                <c:pt idx="4">
                  <c:v>0.68823742386165188</c:v>
                </c:pt>
                <c:pt idx="5">
                  <c:v>0.68977486645479169</c:v>
                </c:pt>
                <c:pt idx="6">
                  <c:v>0.68977486645479169</c:v>
                </c:pt>
                <c:pt idx="7">
                  <c:v>0.68977486645479169</c:v>
                </c:pt>
                <c:pt idx="8">
                  <c:v>0.68977486645479158</c:v>
                </c:pt>
                <c:pt idx="9">
                  <c:v>0.68977486645479169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42-4F89-840A-0AAC2CC75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133744"/>
        <c:axId val="397132784"/>
      </c:lineChart>
      <c:catAx>
        <c:axId val="1347515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3451283"/>
        <c:crosses val="autoZero"/>
        <c:auto val="1"/>
        <c:lblAlgn val="ctr"/>
        <c:lblOffset val="100"/>
        <c:noMultiLvlLbl val="1"/>
      </c:catAx>
      <c:valAx>
        <c:axId val="7134512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Millions of US $</a:t>
                </a:r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7515175"/>
        <c:crosses val="autoZero"/>
        <c:crossBetween val="between"/>
        <c:dispUnits>
          <c:builtInUnit val="thousands"/>
        </c:dispUnits>
      </c:valAx>
      <c:valAx>
        <c:axId val="3971327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crossAx val="397133744"/>
        <c:crosses val="max"/>
        <c:crossBetween val="between"/>
      </c:valAx>
      <c:catAx>
        <c:axId val="397133744"/>
        <c:scaling>
          <c:orientation val="minMax"/>
        </c:scaling>
        <c:delete val="1"/>
        <c:axPos val="b"/>
        <c:majorTickMark val="out"/>
        <c:minorTickMark val="none"/>
        <c:tickLblPos val="nextTo"/>
        <c:crossAx val="397132784"/>
        <c:crosses val="autoZero"/>
        <c:auto val="1"/>
        <c:lblAlgn val="ctr"/>
        <c:lblOffset val="100"/>
        <c:noMultiLvlLbl val="0"/>
      </c:catAx>
    </c:plotArea>
    <c:legend>
      <c:legendPos val="b"/>
      <c:overlay val="0"/>
    </c:legend>
    <c:plotVisOnly val="1"/>
    <c:dispBlanksAs val="zero"/>
    <c:showDLblsOverMax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n-CA" sz="1400" b="1" i="0">
                <a:solidFill>
                  <a:srgbClr val="757575"/>
                </a:solidFill>
                <a:latin typeface="+mn-lt"/>
              </a:rPr>
              <a:t>Cash Flow</a:t>
            </a:r>
          </a:p>
        </c:rich>
      </c:tx>
      <c:layout>
        <c:manualLayout>
          <c:xMode val="edge"/>
          <c:yMode val="edge"/>
          <c:x val="0.50641951006124231"/>
          <c:y val="9.0581612081098561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827063283756198"/>
          <c:y val="8.2505991098938719E-2"/>
          <c:w val="0.76735564304461945"/>
          <c:h val="0.68390961999315303"/>
        </c:manualLayout>
      </c:layout>
      <c:barChart>
        <c:barDir val="col"/>
        <c:grouping val="stacked"/>
        <c:varyColors val="1"/>
        <c:ser>
          <c:idx val="1"/>
          <c:order val="0"/>
          <c:tx>
            <c:strRef>
              <c:f>'Three Statement Model'!$A$113</c:f>
              <c:strCache>
                <c:ptCount val="1"/>
                <c:pt idx="0">
                  <c:v> Operating Cash Flow</c:v>
                </c:pt>
              </c:strCache>
            </c:strRef>
          </c:tx>
          <c:spPr>
            <a:solidFill>
              <a:srgbClr val="3271D2"/>
            </a:solidFill>
          </c:spPr>
          <c:invertIfNegative val="1"/>
          <c:cat>
            <c:numRef>
              <c:f>'Three Statement Model'!$D$2:$M$2</c:f>
              <c:numCache>
                <c:formatCode>General</c:formatCode>
                <c:ptCount val="1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</c:numCache>
            </c:numRef>
          </c:cat>
          <c:val>
            <c:numRef>
              <c:f>'Three Statement Model'!$D$113:$M$113</c:f>
              <c:numCache>
                <c:formatCode>_-* #,##0_-;\(#,##0\)_-;_-* "-"_-;_-@</c:formatCode>
                <c:ptCount val="10"/>
                <c:pt idx="0">
                  <c:v>0</c:v>
                </c:pt>
                <c:pt idx="1">
                  <c:v>86752</c:v>
                </c:pt>
                <c:pt idx="2">
                  <c:v>88880</c:v>
                </c:pt>
                <c:pt idx="3">
                  <c:v>108599</c:v>
                </c:pt>
                <c:pt idx="4">
                  <c:v>141335</c:v>
                </c:pt>
                <c:pt idx="5">
                  <c:v>145396.82654568669</c:v>
                </c:pt>
                <c:pt idx="6">
                  <c:v>159610.51299473821</c:v>
                </c:pt>
                <c:pt idx="7">
                  <c:v>176075.00255438493</c:v>
                </c:pt>
                <c:pt idx="8">
                  <c:v>194370.17057131467</c:v>
                </c:pt>
                <c:pt idx="9">
                  <c:v>214757.82744229172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798-4DE2-B236-5CA5F69E14F9}"/>
            </c:ext>
          </c:extLst>
        </c:ser>
        <c:ser>
          <c:idx val="0"/>
          <c:order val="1"/>
          <c:tx>
            <c:strRef>
              <c:f>'Three Statement Model'!$A$114</c:f>
              <c:strCache>
                <c:ptCount val="1"/>
                <c:pt idx="0">
                  <c:v> Investing Cash Flow</c:v>
                </c:pt>
              </c:strCache>
            </c:strRef>
          </c:tx>
          <c:spPr>
            <a:solidFill>
              <a:srgbClr val="000C3F"/>
            </a:solidFill>
          </c:spPr>
          <c:invertIfNegative val="0"/>
          <c:val>
            <c:numRef>
              <c:f>'Three Statement Model'!$D$114:$M$114</c:f>
              <c:numCache>
                <c:formatCode>_-* #,##0_-;\(#,##0\)_-;_-* "-"_-;_-@</c:formatCode>
                <c:ptCount val="10"/>
                <c:pt idx="0">
                  <c:v>0</c:v>
                </c:pt>
                <c:pt idx="1">
                  <c:v>-23886</c:v>
                </c:pt>
                <c:pt idx="2">
                  <c:v>-28107</c:v>
                </c:pt>
                <c:pt idx="3">
                  <c:v>-44477</c:v>
                </c:pt>
                <c:pt idx="4">
                  <c:v>-64551</c:v>
                </c:pt>
                <c:pt idx="5">
                  <c:v>-40255.25</c:v>
                </c:pt>
                <c:pt idx="6">
                  <c:v>-40255.25</c:v>
                </c:pt>
                <c:pt idx="7">
                  <c:v>-40255.25</c:v>
                </c:pt>
                <c:pt idx="8">
                  <c:v>-40255.25</c:v>
                </c:pt>
                <c:pt idx="9">
                  <c:v>-40255.25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98-4DE2-B236-5CA5F69E14F9}"/>
            </c:ext>
          </c:extLst>
        </c:ser>
        <c:ser>
          <c:idx val="2"/>
          <c:order val="2"/>
          <c:tx>
            <c:strRef>
              <c:f>'Three Statement Model'!$A$115</c:f>
              <c:strCache>
                <c:ptCount val="1"/>
                <c:pt idx="0">
                  <c:v> Financing Cash Flow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</c:spPr>
          <c:invertIfNegative val="0"/>
          <c:val>
            <c:numRef>
              <c:f>'Three Statement Model'!$D$115:$M$115</c:f>
              <c:numCache>
                <c:formatCode>_-* #,##0_-;\(#,##0\)_-;_-* "-"_-;_-@</c:formatCode>
                <c:ptCount val="10"/>
                <c:pt idx="0">
                  <c:v>0</c:v>
                </c:pt>
                <c:pt idx="1">
                  <c:v>-39878</c:v>
                </c:pt>
                <c:pt idx="2">
                  <c:v>-23129</c:v>
                </c:pt>
                <c:pt idx="3">
                  <c:v>-19927</c:v>
                </c:pt>
                <c:pt idx="4">
                  <c:v>-19580</c:v>
                </c:pt>
                <c:pt idx="5">
                  <c:v>-25628.5</c:v>
                </c:pt>
                <c:pt idx="6">
                  <c:v>-25628.5</c:v>
                </c:pt>
                <c:pt idx="7">
                  <c:v>-25628.5</c:v>
                </c:pt>
                <c:pt idx="8">
                  <c:v>-25628.5</c:v>
                </c:pt>
                <c:pt idx="9">
                  <c:v>-25628.5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98-4DE2-B236-5CA5F69E1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5398482"/>
        <c:axId val="1129587394"/>
      </c:barChart>
      <c:catAx>
        <c:axId val="925398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9587394"/>
        <c:crosses val="autoZero"/>
        <c:auto val="1"/>
        <c:lblAlgn val="ctr"/>
        <c:lblOffset val="100"/>
        <c:noMultiLvlLbl val="1"/>
      </c:catAx>
      <c:valAx>
        <c:axId val="112958739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CA"/>
              </a:p>
            </c:rich>
          </c:tx>
          <c:overlay val="0"/>
        </c:title>
        <c:numFmt formatCode="_-* #,##0_-;\(#,##0\)_-;_-* &quot;-&quot;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39848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616527</xdr:colOff>
      <xdr:row>17</xdr:row>
      <xdr:rowOff>83127</xdr:rowOff>
    </xdr:from>
    <xdr:to>
      <xdr:col>3</xdr:col>
      <xdr:colOff>3075710</xdr:colOff>
      <xdr:row>25</xdr:row>
      <xdr:rowOff>103909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EA14B0-DE79-D4E4-51BF-75B9E31B6B20}"/>
            </a:ext>
          </a:extLst>
        </xdr:cNvPr>
        <xdr:cNvSpPr/>
      </xdr:nvSpPr>
      <xdr:spPr>
        <a:xfrm>
          <a:off x="1239982" y="4329545"/>
          <a:ext cx="4461164" cy="147550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solidFill>
                <a:schemeClr val="accent5">
                  <a:lumMod val="50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rPr>
            <a:t>Hilal Berhe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134937</xdr:colOff>
      <xdr:row>116</xdr:row>
      <xdr:rowOff>165099</xdr:rowOff>
    </xdr:from>
    <xdr:ext cx="4371975" cy="2628900"/>
    <xdr:graphicFrame macro="">
      <xdr:nvGraphicFramePr>
        <xdr:cNvPr id="1284321847" name="Chart 1">
          <a:extLst>
            <a:ext uri="{FF2B5EF4-FFF2-40B4-BE49-F238E27FC236}">
              <a16:creationId xmlns:a16="http://schemas.microsoft.com/office/drawing/2014/main" id="{00000000-0008-0000-0100-000037328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552450</xdr:colOff>
      <xdr:row>116</xdr:row>
      <xdr:rowOff>190500</xdr:rowOff>
    </xdr:from>
    <xdr:ext cx="5486400" cy="2628900"/>
    <xdr:graphicFrame macro="">
      <xdr:nvGraphicFramePr>
        <xdr:cNvPr id="1536027679" name="Chart 2">
          <a:extLst>
            <a:ext uri="{FF2B5EF4-FFF2-40B4-BE49-F238E27FC236}">
              <a16:creationId xmlns:a16="http://schemas.microsoft.com/office/drawing/2014/main" id="{00000000-0008-0000-0100-00001FEC8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134937</xdr:colOff>
      <xdr:row>116</xdr:row>
      <xdr:rowOff>165099</xdr:rowOff>
    </xdr:from>
    <xdr:ext cx="4371975" cy="262890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B31834B8-556C-4CA7-89A6-616D387FF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552450</xdr:colOff>
      <xdr:row>116</xdr:row>
      <xdr:rowOff>190500</xdr:rowOff>
    </xdr:from>
    <xdr:ext cx="5486400" cy="26289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EA2FF429-B9ED-4C4F-ACA2-EB93BF9EE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E6E7E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showGridLines="0" topLeftCell="A8" zoomScale="110" zoomScaleNormal="110" workbookViewId="0">
      <selection activeCell="B12" sqref="B12"/>
    </sheetView>
  </sheetViews>
  <sheetFormatPr defaultColWidth="14.44140625" defaultRowHeight="15" customHeight="1" x14ac:dyDescent="0.3"/>
  <cols>
    <col min="1" max="2" width="9.109375" style="37" customWidth="1"/>
    <col min="3" max="3" width="20.109375" style="37" customWidth="1"/>
    <col min="4" max="4" width="51.88671875" style="37" customWidth="1"/>
    <col min="5" max="5" width="12" style="37" customWidth="1"/>
    <col min="6" max="6" width="16.44140625" style="37" customWidth="1"/>
    <col min="7" max="7" width="12.109375" style="37" customWidth="1"/>
    <col min="8" max="8" width="13.33203125" style="37" customWidth="1"/>
    <col min="9" max="11" width="9.109375" style="37" customWidth="1"/>
    <col min="12" max="16384" width="14.44140625" style="37"/>
  </cols>
  <sheetData>
    <row r="1" spans="1:11" ht="19.5" customHeight="1" thickBot="1" x14ac:dyDescent="0.3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9.5" customHeight="1" thickTop="1" x14ac:dyDescent="0.35">
      <c r="A2" s="36"/>
      <c r="B2" s="50"/>
      <c r="C2" s="51"/>
      <c r="D2" s="51"/>
      <c r="E2" s="51"/>
      <c r="F2" s="51"/>
      <c r="G2" s="52"/>
      <c r="H2" s="53"/>
      <c r="I2" s="36"/>
      <c r="J2" s="36"/>
      <c r="K2" s="36"/>
    </row>
    <row r="3" spans="1:11" ht="19.5" customHeight="1" x14ac:dyDescent="0.35">
      <c r="A3" s="36"/>
      <c r="B3" s="54"/>
      <c r="C3" s="55"/>
      <c r="D3" s="55"/>
      <c r="E3" s="55"/>
      <c r="F3" s="55"/>
      <c r="G3" s="56"/>
      <c r="H3" s="57"/>
      <c r="I3" s="36"/>
      <c r="J3" s="36"/>
      <c r="K3" s="36"/>
    </row>
    <row r="4" spans="1:11" ht="19.5" customHeight="1" x14ac:dyDescent="0.35">
      <c r="A4" s="36"/>
      <c r="B4" s="54"/>
      <c r="C4" s="55"/>
      <c r="D4" s="55"/>
      <c r="E4" s="55"/>
      <c r="F4" s="55"/>
      <c r="G4" s="56"/>
      <c r="H4" s="57"/>
      <c r="I4" s="36"/>
      <c r="J4" s="36"/>
      <c r="K4" s="36"/>
    </row>
    <row r="5" spans="1:11" ht="19.5" customHeight="1" x14ac:dyDescent="0.35">
      <c r="A5" s="36"/>
      <c r="B5" s="54"/>
      <c r="C5" s="55"/>
      <c r="D5" s="55"/>
      <c r="E5" s="55"/>
      <c r="F5" s="55"/>
      <c r="G5" s="56"/>
      <c r="H5" s="57"/>
      <c r="I5" s="36"/>
      <c r="J5" s="36"/>
      <c r="K5" s="36"/>
    </row>
    <row r="6" spans="1:11" ht="19.5" customHeight="1" x14ac:dyDescent="0.35">
      <c r="A6" s="36"/>
      <c r="B6" s="54"/>
      <c r="C6" s="55"/>
      <c r="D6" s="55"/>
      <c r="E6" s="55"/>
      <c r="F6" s="55"/>
      <c r="G6" s="56"/>
      <c r="H6" s="57"/>
      <c r="I6" s="36"/>
      <c r="J6" s="36"/>
      <c r="K6" s="36"/>
    </row>
    <row r="7" spans="1:11" ht="19.5" customHeight="1" x14ac:dyDescent="0.35">
      <c r="A7" s="36"/>
      <c r="B7" s="54"/>
      <c r="C7" s="55"/>
      <c r="D7" s="55"/>
      <c r="E7" s="55"/>
      <c r="F7" s="55"/>
      <c r="G7" s="56"/>
      <c r="H7" s="57"/>
      <c r="I7" s="36"/>
      <c r="J7" s="36"/>
      <c r="K7" s="36"/>
    </row>
    <row r="8" spans="1:11" ht="19.5" customHeight="1" x14ac:dyDescent="0.35">
      <c r="A8" s="36"/>
      <c r="B8" s="54"/>
      <c r="C8" s="55"/>
      <c r="D8" s="55"/>
      <c r="E8" s="55"/>
      <c r="F8" s="55"/>
      <c r="G8" s="56"/>
      <c r="H8" s="57"/>
      <c r="I8" s="36"/>
      <c r="J8" s="36"/>
      <c r="K8" s="36"/>
    </row>
    <row r="9" spans="1:11" ht="19.5" customHeight="1" x14ac:dyDescent="0.35">
      <c r="A9" s="36"/>
      <c r="B9" s="27"/>
      <c r="C9" s="28"/>
      <c r="D9" s="28"/>
      <c r="E9" s="28"/>
      <c r="F9" s="28"/>
      <c r="G9" s="28"/>
      <c r="H9" s="29"/>
      <c r="I9" s="36"/>
      <c r="J9" s="36"/>
      <c r="K9" s="36"/>
    </row>
    <row r="10" spans="1:11" ht="19.5" customHeight="1" x14ac:dyDescent="0.35">
      <c r="A10" s="36"/>
      <c r="B10" s="27"/>
      <c r="C10" s="31"/>
      <c r="D10" s="28"/>
      <c r="E10" s="32"/>
      <c r="F10" s="32"/>
      <c r="G10" s="28"/>
      <c r="H10" s="29"/>
      <c r="I10" s="36"/>
      <c r="J10" s="36"/>
      <c r="K10" s="36"/>
    </row>
    <row r="11" spans="1:11" ht="19.5" customHeight="1" x14ac:dyDescent="0.35">
      <c r="A11" s="36"/>
      <c r="B11" s="27"/>
      <c r="C11" s="31"/>
      <c r="D11" s="28"/>
      <c r="E11" s="32"/>
      <c r="F11" s="32"/>
      <c r="G11" s="28"/>
      <c r="H11" s="29"/>
      <c r="I11" s="36"/>
      <c r="J11" s="36"/>
      <c r="K11" s="36"/>
    </row>
    <row r="12" spans="1:11" ht="19.5" customHeight="1" x14ac:dyDescent="0.35">
      <c r="A12" s="36"/>
      <c r="B12" s="27"/>
      <c r="C12" s="31"/>
      <c r="D12" s="28"/>
      <c r="E12" s="32"/>
      <c r="F12" s="32"/>
      <c r="G12" s="28"/>
      <c r="H12" s="29"/>
      <c r="I12" s="36"/>
      <c r="J12" s="36"/>
      <c r="K12" s="36"/>
    </row>
    <row r="13" spans="1:11" ht="28.8" x14ac:dyDescent="0.65">
      <c r="A13" s="36"/>
      <c r="B13" s="27"/>
      <c r="C13" s="49" t="s">
        <v>72</v>
      </c>
      <c r="D13" s="28"/>
      <c r="E13" s="28"/>
      <c r="F13" s="28"/>
      <c r="G13" s="30"/>
      <c r="H13" s="29"/>
      <c r="I13" s="36"/>
      <c r="J13" s="36"/>
      <c r="K13" s="36"/>
    </row>
    <row r="14" spans="1:11" ht="19.5" customHeight="1" x14ac:dyDescent="0.35">
      <c r="A14" s="36"/>
      <c r="B14" s="27"/>
      <c r="C14" s="31"/>
      <c r="D14" s="28"/>
      <c r="E14" s="32"/>
      <c r="F14" s="32"/>
      <c r="G14" s="28"/>
      <c r="H14" s="29"/>
      <c r="I14" s="36"/>
      <c r="J14" s="36"/>
      <c r="K14" s="36"/>
    </row>
    <row r="15" spans="1:11" ht="19.5" customHeight="1" x14ac:dyDescent="0.35">
      <c r="A15" s="36"/>
      <c r="B15" s="27"/>
      <c r="C15" s="31"/>
      <c r="D15" s="28"/>
      <c r="E15" s="32"/>
      <c r="F15" s="32"/>
      <c r="G15" s="28"/>
      <c r="H15" s="29"/>
      <c r="I15" s="36"/>
      <c r="J15" s="36"/>
      <c r="K15" s="36"/>
    </row>
    <row r="16" spans="1:11" ht="19.5" customHeight="1" x14ac:dyDescent="0.35">
      <c r="A16" s="36"/>
      <c r="B16" s="27"/>
      <c r="C16" s="34"/>
      <c r="D16" s="33"/>
      <c r="E16" s="33"/>
      <c r="F16" s="33"/>
      <c r="G16" s="33"/>
      <c r="H16" s="29"/>
      <c r="I16" s="36"/>
      <c r="J16" s="36"/>
      <c r="K16" s="36"/>
    </row>
    <row r="17" spans="1:11" ht="19.5" customHeight="1" x14ac:dyDescent="0.35">
      <c r="A17" s="36"/>
      <c r="B17" s="27"/>
      <c r="C17" s="34"/>
      <c r="D17" s="33"/>
      <c r="E17" s="33"/>
      <c r="F17" s="33"/>
      <c r="G17" s="33"/>
      <c r="H17" s="29"/>
      <c r="I17" s="36"/>
      <c r="J17" s="36"/>
      <c r="K17" s="36"/>
    </row>
    <row r="18" spans="1:11" ht="19.5" customHeight="1" x14ac:dyDescent="0.35">
      <c r="A18" s="36"/>
      <c r="B18" s="27"/>
      <c r="C18" s="35"/>
      <c r="D18" s="33"/>
      <c r="E18" s="33"/>
      <c r="F18" s="33"/>
      <c r="G18" s="33"/>
      <c r="H18" s="29"/>
      <c r="I18" s="36"/>
      <c r="J18" s="36"/>
      <c r="K18" s="36"/>
    </row>
    <row r="19" spans="1:11" ht="14.25" customHeight="1" x14ac:dyDescent="0.65">
      <c r="A19" s="36"/>
      <c r="B19" s="39"/>
      <c r="C19" s="58"/>
      <c r="D19" s="42"/>
      <c r="E19" s="42"/>
      <c r="F19" s="42"/>
      <c r="G19" s="42"/>
      <c r="H19" s="40"/>
      <c r="I19" s="36"/>
      <c r="J19" s="36"/>
      <c r="K19" s="36"/>
    </row>
    <row r="20" spans="1:11" ht="14.25" customHeight="1" x14ac:dyDescent="0.3">
      <c r="A20" s="36"/>
      <c r="B20" s="39"/>
      <c r="C20" s="41"/>
      <c r="D20" s="42"/>
      <c r="E20" s="42"/>
      <c r="F20" s="42"/>
      <c r="G20" s="42"/>
      <c r="H20" s="40"/>
      <c r="I20" s="36"/>
      <c r="J20" s="36"/>
      <c r="K20" s="36"/>
    </row>
    <row r="21" spans="1:11" ht="14.25" customHeight="1" x14ac:dyDescent="0.3">
      <c r="A21" s="36"/>
      <c r="B21" s="39"/>
      <c r="C21" s="41"/>
      <c r="D21" s="42"/>
      <c r="E21" s="42"/>
      <c r="F21" s="42"/>
      <c r="G21" s="42"/>
      <c r="H21" s="40"/>
      <c r="I21" s="36"/>
      <c r="J21" s="36"/>
      <c r="K21" s="36"/>
    </row>
    <row r="22" spans="1:11" ht="14.25" customHeight="1" x14ac:dyDescent="0.3">
      <c r="A22" s="36"/>
      <c r="B22" s="39"/>
      <c r="C22" s="41"/>
      <c r="D22" s="42"/>
      <c r="E22" s="42"/>
      <c r="F22" s="42"/>
      <c r="G22" s="42"/>
      <c r="H22" s="40"/>
      <c r="I22" s="36"/>
      <c r="J22" s="36"/>
      <c r="K22" s="36"/>
    </row>
    <row r="23" spans="1:11" ht="14.25" customHeight="1" x14ac:dyDescent="0.45">
      <c r="A23" s="36"/>
      <c r="B23" s="39"/>
      <c r="C23" s="59"/>
      <c r="D23" s="42"/>
      <c r="E23" s="42"/>
      <c r="F23" s="42"/>
      <c r="G23" s="42"/>
      <c r="H23" s="40"/>
      <c r="I23" s="36"/>
      <c r="J23" s="36"/>
      <c r="K23" s="36"/>
    </row>
    <row r="24" spans="1:11" ht="14.25" customHeight="1" x14ac:dyDescent="0.3">
      <c r="A24" s="36"/>
      <c r="B24" s="39"/>
      <c r="C24" s="41"/>
      <c r="D24" s="42"/>
      <c r="E24" s="42"/>
      <c r="F24" s="42"/>
      <c r="G24" s="42"/>
      <c r="H24" s="40"/>
      <c r="I24" s="36"/>
      <c r="J24" s="36"/>
      <c r="K24" s="36"/>
    </row>
    <row r="25" spans="1:11" ht="14.25" customHeight="1" x14ac:dyDescent="0.3">
      <c r="A25" s="36"/>
      <c r="B25" s="39"/>
      <c r="C25" s="41"/>
      <c r="D25" s="42"/>
      <c r="E25" s="42"/>
      <c r="F25" s="42"/>
      <c r="G25" s="42"/>
      <c r="H25" s="40"/>
      <c r="I25" s="36"/>
      <c r="J25" s="36"/>
      <c r="K25" s="36"/>
    </row>
    <row r="26" spans="1:11" ht="14.25" customHeight="1" x14ac:dyDescent="0.3">
      <c r="A26" s="36"/>
      <c r="B26" s="39"/>
      <c r="C26" s="41"/>
      <c r="D26" s="42"/>
      <c r="E26" s="42"/>
      <c r="F26" s="42"/>
      <c r="G26" s="42"/>
      <c r="H26" s="40"/>
      <c r="I26" s="36"/>
      <c r="J26" s="36"/>
      <c r="K26" s="36"/>
    </row>
    <row r="27" spans="1:11" ht="14.25" customHeight="1" x14ac:dyDescent="0.3">
      <c r="A27" s="36"/>
      <c r="B27" s="39"/>
      <c r="C27" s="41"/>
      <c r="D27" s="42"/>
      <c r="E27" s="42"/>
      <c r="F27" s="42"/>
      <c r="G27" s="42"/>
      <c r="H27" s="40"/>
      <c r="I27" s="36"/>
      <c r="J27" s="36"/>
      <c r="K27" s="36"/>
    </row>
    <row r="28" spans="1:11" ht="14.25" customHeight="1" x14ac:dyDescent="0.3">
      <c r="A28" s="36"/>
      <c r="B28" s="39"/>
      <c r="C28" s="41"/>
      <c r="D28" s="42"/>
      <c r="E28" s="42"/>
      <c r="F28" s="42"/>
      <c r="G28" s="42"/>
      <c r="H28" s="40"/>
      <c r="I28" s="36"/>
      <c r="J28" s="36"/>
      <c r="K28" s="36"/>
    </row>
    <row r="29" spans="1:11" ht="14.25" customHeight="1" x14ac:dyDescent="0.3">
      <c r="A29" s="36"/>
      <c r="B29" s="39"/>
      <c r="C29" s="41"/>
      <c r="D29" s="42"/>
      <c r="E29" s="42"/>
      <c r="F29" s="42"/>
      <c r="G29" s="42"/>
      <c r="H29" s="40"/>
      <c r="I29" s="36"/>
      <c r="J29" s="36"/>
      <c r="K29" s="36"/>
    </row>
    <row r="30" spans="1:11" ht="19.5" customHeight="1" x14ac:dyDescent="0.3">
      <c r="A30" s="38"/>
      <c r="B30" s="39"/>
      <c r="C30" s="41"/>
      <c r="D30" s="42"/>
      <c r="E30" s="42"/>
      <c r="F30" s="42"/>
      <c r="G30" s="42"/>
      <c r="H30" s="40"/>
      <c r="I30" s="38"/>
      <c r="J30" s="38"/>
      <c r="K30" s="38"/>
    </row>
    <row r="31" spans="1:11" ht="19.5" customHeight="1" thickBot="1" x14ac:dyDescent="0.35">
      <c r="A31" s="36"/>
      <c r="B31" s="43"/>
      <c r="C31" s="44"/>
      <c r="D31" s="44"/>
      <c r="E31" s="44"/>
      <c r="F31" s="44"/>
      <c r="G31" s="44"/>
      <c r="H31" s="45" t="s">
        <v>71</v>
      </c>
      <c r="I31" s="36"/>
      <c r="J31" s="36"/>
      <c r="K31" s="36"/>
    </row>
    <row r="32" spans="1:11" ht="19.5" customHeight="1" thickTop="1" x14ac:dyDescent="0.3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</row>
    <row r="33" spans="1:11" ht="19.5" customHeight="1" x14ac:dyDescent="0.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</row>
    <row r="34" spans="1:11" ht="19.5" customHeight="1" x14ac:dyDescent="0.3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</row>
    <row r="35" spans="1:11" ht="13.5" customHeight="1" x14ac:dyDescent="0.3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6" spans="1:11" ht="13.5" customHeight="1" x14ac:dyDescent="0.3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</row>
    <row r="37" spans="1:11" ht="13.5" customHeight="1" x14ac:dyDescent="0.3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</row>
    <row r="38" spans="1:11" ht="13.5" customHeight="1" x14ac:dyDescent="0.3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39" spans="1:11" ht="13.5" customHeight="1" x14ac:dyDescent="0.3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</row>
    <row r="40" spans="1:11" ht="13.5" customHeight="1" x14ac:dyDescent="0.3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</row>
    <row r="41" spans="1:11" ht="13.5" customHeight="1" x14ac:dyDescent="0.3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</row>
    <row r="42" spans="1:11" ht="13.5" customHeight="1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</row>
    <row r="43" spans="1:11" ht="13.5" customHeight="1" x14ac:dyDescent="0.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r="44" spans="1:11" ht="13.5" customHeight="1" x14ac:dyDescent="0.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r="45" spans="1:11" ht="13.5" customHeight="1" x14ac:dyDescent="0.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</sheetData>
  <pageMargins left="0.7" right="0.7" top="0.75" bottom="0.75" header="0" footer="0"/>
  <pageSetup scale="9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zoomScaleNormal="100" workbookViewId="0">
      <selection activeCell="D8" sqref="D8"/>
    </sheetView>
  </sheetViews>
  <sheetFormatPr defaultColWidth="14.44140625" defaultRowHeight="15" customHeight="1" outlineLevelRow="1" x14ac:dyDescent="0.25"/>
  <cols>
    <col min="1" max="1" width="44.109375" style="66" bestFit="1" customWidth="1"/>
    <col min="2" max="2" width="12.44140625" style="66" customWidth="1"/>
    <col min="3" max="3" width="11.109375" style="66" customWidth="1"/>
    <col min="4" max="13" width="11.5546875" style="66" customWidth="1"/>
    <col min="14" max="26" width="9.109375" style="66" customWidth="1"/>
    <col min="27" max="16384" width="14.44140625" style="66"/>
  </cols>
  <sheetData>
    <row r="1" spans="1:26" ht="15.6" x14ac:dyDescent="0.3">
      <c r="A1" s="61"/>
      <c r="B1" s="62"/>
      <c r="C1" s="63"/>
      <c r="D1" s="84" t="s">
        <v>0</v>
      </c>
      <c r="E1" s="85"/>
      <c r="F1" s="85"/>
      <c r="G1" s="85"/>
      <c r="H1" s="86"/>
      <c r="I1" s="87" t="s">
        <v>1</v>
      </c>
      <c r="J1" s="88"/>
      <c r="K1" s="88"/>
      <c r="L1" s="88"/>
      <c r="M1" s="8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x14ac:dyDescent="0.35">
      <c r="A2" s="71" t="s">
        <v>79</v>
      </c>
      <c r="B2" s="64"/>
      <c r="C2" s="65"/>
      <c r="D2" s="77">
        <v>2021</v>
      </c>
      <c r="E2" s="77">
        <f>+D2+1</f>
        <v>2022</v>
      </c>
      <c r="F2" s="77">
        <f>+E2+1</f>
        <v>2023</v>
      </c>
      <c r="G2" s="77">
        <f t="shared" ref="G2:M2" si="0">+F2+1</f>
        <v>2024</v>
      </c>
      <c r="H2" s="77">
        <f>+G2+1</f>
        <v>2025</v>
      </c>
      <c r="I2" s="75">
        <f t="shared" si="0"/>
        <v>2026</v>
      </c>
      <c r="J2" s="60">
        <f t="shared" si="0"/>
        <v>2027</v>
      </c>
      <c r="K2" s="60">
        <f t="shared" si="0"/>
        <v>2028</v>
      </c>
      <c r="L2" s="60">
        <f t="shared" si="0"/>
        <v>2029</v>
      </c>
      <c r="M2" s="60">
        <f t="shared" si="0"/>
        <v>2030</v>
      </c>
      <c r="N2" s="2"/>
      <c r="O2" s="2"/>
      <c r="P2" s="2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46"/>
      <c r="B3" s="46"/>
      <c r="C3" s="47"/>
      <c r="D3" s="48"/>
      <c r="E3" s="48"/>
      <c r="F3" s="48"/>
      <c r="G3" s="48"/>
      <c r="H3" s="48"/>
      <c r="I3" s="48"/>
      <c r="J3" s="48"/>
      <c r="K3" s="48"/>
      <c r="L3" s="48"/>
      <c r="M3" s="4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1"/>
      <c r="B4" s="1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3">
      <c r="A5" s="67" t="s">
        <v>2</v>
      </c>
      <c r="B5" s="68"/>
      <c r="C5" s="68"/>
      <c r="D5" s="68"/>
      <c r="E5" s="76"/>
      <c r="F5" s="68"/>
      <c r="G5" s="68"/>
      <c r="H5" s="68"/>
      <c r="I5" s="68"/>
      <c r="J5" s="68"/>
      <c r="K5" s="68"/>
      <c r="L5" s="68"/>
      <c r="M5" s="6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outlineLevel="1" x14ac:dyDescent="0.3">
      <c r="A6" s="1"/>
      <c r="B6" s="1"/>
      <c r="C6" s="3"/>
      <c r="D6" s="1"/>
      <c r="E6" s="1"/>
      <c r="F6" s="1"/>
      <c r="G6" s="1"/>
      <c r="H6" s="1"/>
      <c r="I6" s="4"/>
      <c r="J6" s="4"/>
      <c r="K6" s="4"/>
      <c r="L6" s="4"/>
      <c r="M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outlineLevel="1" x14ac:dyDescent="0.3">
      <c r="A7" s="5" t="s">
        <v>74</v>
      </c>
      <c r="B7" s="1"/>
      <c r="C7" s="3"/>
      <c r="D7" s="82"/>
      <c r="E7" s="1"/>
      <c r="F7" s="1"/>
      <c r="G7" s="1"/>
      <c r="H7" s="1"/>
      <c r="I7" s="4"/>
      <c r="J7" s="4"/>
      <c r="K7" s="4"/>
      <c r="L7" s="4"/>
      <c r="M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outlineLevel="1" x14ac:dyDescent="0.3">
      <c r="A8" s="6" t="s">
        <v>3</v>
      </c>
      <c r="B8" s="7"/>
      <c r="C8" s="8"/>
      <c r="D8" s="81" t="s">
        <v>78</v>
      </c>
      <c r="E8" s="79" t="s">
        <v>78</v>
      </c>
      <c r="F8" s="79">
        <f t="shared" ref="F8:H8" si="1">(F26/E26)-1</f>
        <v>6.8820295556564215E-2</v>
      </c>
      <c r="G8" s="79">
        <f t="shared" si="1"/>
        <v>0.1566996201307127</v>
      </c>
      <c r="H8" s="79">
        <f t="shared" si="1"/>
        <v>0.14932156232406713</v>
      </c>
      <c r="I8" s="83">
        <f>AVERAGE($F$8:$H$8)</f>
        <v>0.12494715933711469</v>
      </c>
      <c r="J8" s="83">
        <f t="shared" ref="J8:L8" si="2">AVERAGE($F$8:$H$8)</f>
        <v>0.12494715933711469</v>
      </c>
      <c r="K8" s="83">
        <f t="shared" si="2"/>
        <v>0.12494715933711469</v>
      </c>
      <c r="L8" s="83">
        <f t="shared" si="2"/>
        <v>0.12494715933711469</v>
      </c>
      <c r="M8" s="83">
        <f>AVERAGE($F$8:$H$8)</f>
        <v>0.12494715933711469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outlineLevel="1" x14ac:dyDescent="0.3">
      <c r="A9" s="1" t="s">
        <v>4</v>
      </c>
      <c r="B9" s="1"/>
      <c r="C9" s="3"/>
      <c r="D9" s="81" t="s">
        <v>78</v>
      </c>
      <c r="E9" s="26">
        <f>E27/E26</f>
        <v>0.31598325515710901</v>
      </c>
      <c r="F9" s="26">
        <f t="shared" ref="F9:G9" si="3">F27/F26</f>
        <v>0.31079914116508978</v>
      </c>
      <c r="G9" s="26">
        <f t="shared" si="3"/>
        <v>0.30235556172028621</v>
      </c>
      <c r="H9" s="26">
        <f>H27/H26</f>
        <v>0.31176257613834818</v>
      </c>
      <c r="I9" s="10">
        <f>AVERAGE($E$9:$H$9)</f>
        <v>0.31022513354520831</v>
      </c>
      <c r="J9" s="10">
        <f t="shared" ref="J9:M9" si="4">AVERAGE($E$9:$H$9)</f>
        <v>0.31022513354520831</v>
      </c>
      <c r="K9" s="10">
        <f>AVERAGE($E$9:$H$9)</f>
        <v>0.31022513354520831</v>
      </c>
      <c r="L9" s="10">
        <f t="shared" si="4"/>
        <v>0.31022513354520831</v>
      </c>
      <c r="M9" s="10">
        <f t="shared" si="4"/>
        <v>0.31022513354520831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outlineLevel="1" x14ac:dyDescent="0.3">
      <c r="A10" s="1" t="s">
        <v>5</v>
      </c>
      <c r="B10" s="1"/>
      <c r="C10" s="3"/>
      <c r="D10" s="81" t="s">
        <v>78</v>
      </c>
      <c r="E10" s="9">
        <f>E31/E26</f>
        <v>0.13983456902204064</v>
      </c>
      <c r="F10" s="9">
        <f t="shared" ref="F10:H10" si="5">F31/F26</f>
        <v>0.14314229761932851</v>
      </c>
      <c r="G10" s="9">
        <f t="shared" si="5"/>
        <v>0.13081241177862452</v>
      </c>
      <c r="H10" s="9">
        <f t="shared" si="5"/>
        <v>0.11669932274140649</v>
      </c>
      <c r="I10" s="9">
        <f>AVERAGE($E$10:$H$10)</f>
        <v>0.13262215029035002</v>
      </c>
      <c r="J10" s="9">
        <f t="shared" ref="J10:M10" si="6">AVERAGE($E$10:$H$10)</f>
        <v>0.13262215029035002</v>
      </c>
      <c r="K10" s="9">
        <f t="shared" si="6"/>
        <v>0.13262215029035002</v>
      </c>
      <c r="L10" s="9">
        <f t="shared" si="6"/>
        <v>0.13262215029035002</v>
      </c>
      <c r="M10" s="9">
        <f t="shared" si="6"/>
        <v>0.13262215029035002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outlineLevel="1" x14ac:dyDescent="0.3">
      <c r="A11" s="1" t="s">
        <v>6</v>
      </c>
      <c r="B11" s="1"/>
      <c r="C11" s="3"/>
      <c r="D11" s="81" t="s">
        <v>78</v>
      </c>
      <c r="E11" s="80">
        <v>0</v>
      </c>
      <c r="F11" s="80">
        <v>0</v>
      </c>
      <c r="G11" s="80">
        <v>0</v>
      </c>
      <c r="H11" s="80">
        <v>0</v>
      </c>
      <c r="I11" s="9">
        <f>H11</f>
        <v>0</v>
      </c>
      <c r="J11" s="9">
        <f t="shared" ref="J11:M11" si="7">I11</f>
        <v>0</v>
      </c>
      <c r="K11" s="9">
        <f t="shared" si="7"/>
        <v>0</v>
      </c>
      <c r="L11" s="9">
        <f t="shared" si="7"/>
        <v>0</v>
      </c>
      <c r="M11" s="9">
        <f t="shared" si="7"/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outlineLevel="1" x14ac:dyDescent="0.3">
      <c r="A12" s="1" t="s">
        <v>7</v>
      </c>
      <c r="B12" s="1"/>
      <c r="C12" s="3"/>
      <c r="D12" s="81" t="s">
        <v>78</v>
      </c>
      <c r="E12" s="9">
        <f>E66/E46</f>
        <v>0.16517031046535535</v>
      </c>
      <c r="F12" s="9">
        <f t="shared" ref="F12:H12" si="8">F66/F46</f>
        <v>0.12602398465273168</v>
      </c>
      <c r="G12" s="9">
        <f t="shared" si="8"/>
        <v>0.14420389254102178</v>
      </c>
      <c r="H12" s="9">
        <f t="shared" si="8"/>
        <v>0.14862765406525116</v>
      </c>
      <c r="I12" s="10">
        <f>AVERAGE($E$12:$H$12)</f>
        <v>0.14600646043109</v>
      </c>
      <c r="J12" s="10">
        <f t="shared" ref="J12:L12" si="9">AVERAGE($E$12:$H$12)</f>
        <v>0.14600646043109</v>
      </c>
      <c r="K12" s="10">
        <f t="shared" si="9"/>
        <v>0.14600646043109</v>
      </c>
      <c r="L12" s="10">
        <f t="shared" si="9"/>
        <v>0.14600646043109</v>
      </c>
      <c r="M12" s="10">
        <f>AVERAGE($E$12:$H$12)</f>
        <v>0.14600646043109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outlineLevel="1" x14ac:dyDescent="0.3">
      <c r="A13" s="1" t="s">
        <v>8</v>
      </c>
      <c r="B13" s="1"/>
      <c r="C13" s="3"/>
      <c r="D13" s="81" t="s">
        <v>78</v>
      </c>
      <c r="E13" s="80">
        <v>0</v>
      </c>
      <c r="F13" s="80">
        <v>0</v>
      </c>
      <c r="G13" s="80">
        <v>0</v>
      </c>
      <c r="H13" s="80">
        <v>0</v>
      </c>
      <c r="I13" s="9">
        <f>H13</f>
        <v>0</v>
      </c>
      <c r="J13" s="9">
        <f t="shared" ref="J13:M13" si="10">I13</f>
        <v>0</v>
      </c>
      <c r="K13" s="9">
        <f t="shared" si="10"/>
        <v>0</v>
      </c>
      <c r="L13" s="9">
        <f t="shared" si="10"/>
        <v>0</v>
      </c>
      <c r="M13" s="9">
        <f t="shared" si="10"/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outlineLevel="1" x14ac:dyDescent="0.3">
      <c r="A14" s="1" t="s">
        <v>9</v>
      </c>
      <c r="B14" s="11"/>
      <c r="C14" s="12"/>
      <c r="D14" s="81" t="s">
        <v>78</v>
      </c>
      <c r="E14" s="9">
        <f>E36/E34</f>
        <v>0.13165753211086192</v>
      </c>
      <c r="F14" s="9">
        <f>F36/F34</f>
        <v>0.19147566169244151</v>
      </c>
      <c r="G14" s="9">
        <f t="shared" ref="G14:H14" si="11">G36/G34</f>
        <v>0.17957106174554294</v>
      </c>
      <c r="H14" s="9">
        <f t="shared" si="11"/>
        <v>0.16957394497697001</v>
      </c>
      <c r="I14" s="10">
        <f>AVERAGE($E$14:$H$14)</f>
        <v>0.16806955013145408</v>
      </c>
      <c r="J14" s="10">
        <f t="shared" ref="J14:M14" si="12">AVERAGE($E$14:$H$14)</f>
        <v>0.16806955013145408</v>
      </c>
      <c r="K14" s="10">
        <f t="shared" si="12"/>
        <v>0.16806955013145408</v>
      </c>
      <c r="L14" s="10">
        <f t="shared" si="12"/>
        <v>0.16806955013145408</v>
      </c>
      <c r="M14" s="10">
        <f t="shared" si="12"/>
        <v>0.16806955013145408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outlineLevel="1" x14ac:dyDescent="0.3">
      <c r="A15" s="1" t="s">
        <v>10</v>
      </c>
      <c r="B15" s="1"/>
      <c r="C15" s="13"/>
      <c r="D15" s="81" t="s">
        <v>78</v>
      </c>
      <c r="E15" s="1">
        <f>((E44/E26)*365)</f>
        <v>81.481136833610734</v>
      </c>
      <c r="F15" s="1">
        <f t="shared" ref="F15" si="13">((F44/F26)*365)</f>
        <v>83.859660713021725</v>
      </c>
      <c r="G15" s="1">
        <f>((G44/G26)*365)</f>
        <v>84.762934375535451</v>
      </c>
      <c r="H15" s="1">
        <f>((H44/H26)*365)</f>
        <v>90.568517414206809</v>
      </c>
      <c r="I15" s="4">
        <f>AVERAGE($E$15:$H$15)</f>
        <v>85.16806233409369</v>
      </c>
      <c r="J15" s="4">
        <f t="shared" ref="J15:M15" si="14">AVERAGE($E$15:$H$15)</f>
        <v>85.16806233409369</v>
      </c>
      <c r="K15" s="4">
        <f t="shared" si="14"/>
        <v>85.16806233409369</v>
      </c>
      <c r="L15" s="4">
        <f t="shared" si="14"/>
        <v>85.16806233409369</v>
      </c>
      <c r="M15" s="4">
        <f t="shared" si="14"/>
        <v>85.16806233409369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outlineLevel="1" x14ac:dyDescent="0.3">
      <c r="A16" s="1" t="s">
        <v>11</v>
      </c>
      <c r="B16" s="1"/>
      <c r="C16" s="13"/>
      <c r="D16" s="81" t="s">
        <v>78</v>
      </c>
      <c r="E16" s="1">
        <f>((E45/E27)*365)</f>
        <v>21.80095770151636</v>
      </c>
      <c r="F16" s="1">
        <f t="shared" ref="F16" si="15">((F45/F27)*365)</f>
        <v>13.854516192703034</v>
      </c>
      <c r="G16" s="1">
        <f>((G45/G27)*365)</f>
        <v>6.1363575033057183</v>
      </c>
      <c r="H16" s="1">
        <f>((H45/H27)*365)</f>
        <v>3.8980542177591055</v>
      </c>
      <c r="I16" s="4">
        <f>AVERAGE($E$16:$H$16)</f>
        <v>11.422471403821055</v>
      </c>
      <c r="J16" s="4">
        <f t="shared" ref="J16:M16" si="16">AVERAGE($E$16:$H$16)</f>
        <v>11.422471403821055</v>
      </c>
      <c r="K16" s="4">
        <f t="shared" si="16"/>
        <v>11.422471403821055</v>
      </c>
      <c r="L16" s="4">
        <f t="shared" si="16"/>
        <v>11.422471403821055</v>
      </c>
      <c r="M16" s="4">
        <f t="shared" si="16"/>
        <v>11.422471403821055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outlineLevel="1" x14ac:dyDescent="0.3">
      <c r="A17" s="1" t="s">
        <v>12</v>
      </c>
      <c r="B17" s="1"/>
      <c r="C17" s="13"/>
      <c r="D17" s="81" t="s">
        <v>78</v>
      </c>
      <c r="E17" s="1">
        <f>(E50/E27)*365</f>
        <v>110.69433359936153</v>
      </c>
      <c r="F17" s="1">
        <f t="shared" ref="F17:H17" si="17">(F50/F27)*365</f>
        <v>100.27898820278456</v>
      </c>
      <c r="G17" s="1">
        <f t="shared" si="17"/>
        <v>108.32690179992984</v>
      </c>
      <c r="H17" s="1">
        <f t="shared" si="17"/>
        <v>115.21285195432137</v>
      </c>
      <c r="I17" s="4">
        <f>AVERAGE($E$17:$H$17)</f>
        <v>108.62826888909932</v>
      </c>
      <c r="J17" s="4">
        <f t="shared" ref="J17:M17" si="18">AVERAGE($E$17:$H$17)</f>
        <v>108.62826888909932</v>
      </c>
      <c r="K17" s="4">
        <f t="shared" si="18"/>
        <v>108.62826888909932</v>
      </c>
      <c r="L17" s="4">
        <f t="shared" si="18"/>
        <v>108.62826888909932</v>
      </c>
      <c r="M17" s="4">
        <f t="shared" si="18"/>
        <v>108.62826888909932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outlineLevel="1" x14ac:dyDescent="0.3">
      <c r="A18" s="1" t="s">
        <v>13</v>
      </c>
      <c r="B18" s="1"/>
      <c r="C18" s="3"/>
      <c r="D18" s="81" t="s">
        <v>78</v>
      </c>
      <c r="E18" s="1">
        <f>E71</f>
        <v>-23886</v>
      </c>
      <c r="F18" s="1">
        <f t="shared" ref="F18:H18" si="19">F71</f>
        <v>-28107</v>
      </c>
      <c r="G18" s="1">
        <f t="shared" si="19"/>
        <v>-44477</v>
      </c>
      <c r="H18" s="1">
        <f t="shared" si="19"/>
        <v>-64551</v>
      </c>
      <c r="I18" s="4">
        <f>AVERAGE($E$18:$H$18)</f>
        <v>-40255.25</v>
      </c>
      <c r="J18" s="4">
        <f t="shared" ref="J18:M18" si="20">AVERAGE($E$18:$H$18)</f>
        <v>-40255.25</v>
      </c>
      <c r="K18" s="4">
        <f t="shared" si="20"/>
        <v>-40255.25</v>
      </c>
      <c r="L18" s="4">
        <f t="shared" si="20"/>
        <v>-40255.25</v>
      </c>
      <c r="M18" s="4">
        <f t="shared" si="20"/>
        <v>-40255.25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outlineLevel="1" x14ac:dyDescent="0.3">
      <c r="A19" s="1" t="s">
        <v>14</v>
      </c>
      <c r="B19" s="1"/>
      <c r="C19" s="3"/>
      <c r="D19" s="81" t="s">
        <v>78</v>
      </c>
      <c r="E19" s="1">
        <f>E75</f>
        <v>-9023</v>
      </c>
      <c r="F19" s="1">
        <f t="shared" ref="F19:H19" si="21">F75</f>
        <v>-2750</v>
      </c>
      <c r="G19" s="1">
        <f t="shared" si="21"/>
        <v>-4675</v>
      </c>
      <c r="H19" s="1">
        <f t="shared" si="21"/>
        <v>-3216</v>
      </c>
      <c r="I19" s="4">
        <f>AVERAGE($E$19:$H$19)</f>
        <v>-4916</v>
      </c>
      <c r="J19" s="4">
        <f t="shared" ref="J19:M19" si="22">AVERAGE($E$19:$H$19)</f>
        <v>-4916</v>
      </c>
      <c r="K19" s="4">
        <f t="shared" si="22"/>
        <v>-4916</v>
      </c>
      <c r="L19" s="4">
        <f t="shared" si="22"/>
        <v>-4916</v>
      </c>
      <c r="M19" s="4">
        <f t="shared" si="22"/>
        <v>-4916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outlineLevel="1" x14ac:dyDescent="0.3">
      <c r="A20" s="1" t="s">
        <v>15</v>
      </c>
      <c r="B20" s="1"/>
      <c r="C20" s="3"/>
      <c r="D20" s="81" t="s">
        <v>78</v>
      </c>
      <c r="E20" s="1">
        <f>E76</f>
        <v>-30855</v>
      </c>
      <c r="F20" s="1">
        <f t="shared" ref="F20:H20" si="23">F76</f>
        <v>-20379</v>
      </c>
      <c r="G20" s="1">
        <f t="shared" si="23"/>
        <v>-15252</v>
      </c>
      <c r="H20" s="1">
        <f t="shared" si="23"/>
        <v>-16364</v>
      </c>
      <c r="I20" s="4">
        <f>AVERAGE($E$20:$H$20)</f>
        <v>-20712.5</v>
      </c>
      <c r="J20" s="4">
        <f t="shared" ref="J20:M20" si="24">AVERAGE($E$20:$H$20)</f>
        <v>-20712.5</v>
      </c>
      <c r="K20" s="4">
        <f t="shared" si="24"/>
        <v>-20712.5</v>
      </c>
      <c r="L20" s="4">
        <f>AVERAGE($E$20:$H$20)</f>
        <v>-20712.5</v>
      </c>
      <c r="M20" s="4">
        <f t="shared" si="24"/>
        <v>-20712.5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outlineLevel="1" x14ac:dyDescent="0.3">
      <c r="A21" s="1" t="s">
        <v>73</v>
      </c>
      <c r="B21" s="1"/>
      <c r="C21" s="3"/>
      <c r="D21" s="81" t="s">
        <v>78</v>
      </c>
      <c r="E21" s="4">
        <v>365</v>
      </c>
      <c r="F21" s="4">
        <v>365</v>
      </c>
      <c r="G21" s="4">
        <v>365</v>
      </c>
      <c r="H21" s="4">
        <v>365</v>
      </c>
      <c r="I21" s="4">
        <f>AVERAGE(E21:H21)</f>
        <v>365</v>
      </c>
      <c r="J21" s="4">
        <f t="shared" ref="J21:M21" si="25">AVERAGE(F21:I21)</f>
        <v>365</v>
      </c>
      <c r="K21" s="4">
        <f t="shared" si="25"/>
        <v>365</v>
      </c>
      <c r="L21" s="4">
        <f t="shared" si="25"/>
        <v>365</v>
      </c>
      <c r="M21" s="4">
        <f t="shared" si="25"/>
        <v>365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outlineLevel="1" x14ac:dyDescent="0.3">
      <c r="A22" s="1"/>
      <c r="B22" s="1"/>
      <c r="C22" s="3"/>
      <c r="D22" s="1"/>
      <c r="E22" s="1"/>
      <c r="F22" s="1"/>
      <c r="G22" s="1"/>
      <c r="H22" s="1"/>
      <c r="I22" s="4"/>
      <c r="J22" s="4"/>
      <c r="K22" s="4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6" x14ac:dyDescent="0.3">
      <c r="A23" s="1"/>
      <c r="B23" s="1"/>
      <c r="C23" s="3"/>
      <c r="D23" s="1"/>
      <c r="E23" s="1"/>
      <c r="F23" s="1"/>
      <c r="G23" s="1"/>
      <c r="H23" s="1"/>
      <c r="I23" s="4"/>
      <c r="J23" s="4"/>
      <c r="K23" s="4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x14ac:dyDescent="0.3">
      <c r="A24" s="69" t="s">
        <v>16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6" outlineLevel="1" x14ac:dyDescent="0.3">
      <c r="A25" s="5"/>
      <c r="B25" s="5"/>
      <c r="C25" s="14"/>
      <c r="D25" s="15"/>
      <c r="E25" s="15"/>
      <c r="F25" s="15"/>
      <c r="G25" s="15"/>
      <c r="H25" s="15"/>
      <c r="I25" s="5"/>
      <c r="J25" s="5"/>
      <c r="K25" s="5"/>
      <c r="L25" s="5"/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6" outlineLevel="1" x14ac:dyDescent="0.3">
      <c r="A26" s="5" t="s">
        <v>17</v>
      </c>
      <c r="B26" s="5"/>
      <c r="C26" s="14"/>
      <c r="D26" s="15" t="s">
        <v>78</v>
      </c>
      <c r="E26" s="78">
        <v>198270</v>
      </c>
      <c r="F26" s="15">
        <v>211915</v>
      </c>
      <c r="G26" s="15">
        <v>245122</v>
      </c>
      <c r="H26" s="15">
        <v>281724</v>
      </c>
      <c r="I26" s="5">
        <f>((H26)*(1+I8))</f>
        <v>316924.61351708934</v>
      </c>
      <c r="J26" s="5">
        <f>((I26)*(1+J8))</f>
        <v>356523.44370006263</v>
      </c>
      <c r="K26" s="5">
        <f t="shared" ref="K26:L26" si="26">((J26)*(1+K8))</f>
        <v>401070.03522747121</v>
      </c>
      <c r="L26" s="5">
        <f t="shared" si="26"/>
        <v>451182.59682438028</v>
      </c>
      <c r="M26" s="5">
        <f>((L26)*(1+M8))</f>
        <v>507556.58063992934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6" outlineLevel="1" x14ac:dyDescent="0.3">
      <c r="A27" s="1" t="s">
        <v>18</v>
      </c>
      <c r="B27" s="1"/>
      <c r="C27" s="3"/>
      <c r="D27" s="15" t="s">
        <v>78</v>
      </c>
      <c r="E27" s="4">
        <v>62650</v>
      </c>
      <c r="F27" s="4">
        <v>65863</v>
      </c>
      <c r="G27" s="4">
        <v>74114</v>
      </c>
      <c r="H27" s="4">
        <v>87831</v>
      </c>
      <c r="I27" s="16">
        <f>((I26)*I9)</f>
        <v>98317.98055210257</v>
      </c>
      <c r="J27" s="16">
        <f>((J26)*J9)</f>
        <v>110602.53293384949</v>
      </c>
      <c r="K27" s="16">
        <f t="shared" ref="K27:M27" si="27">((K26)*K9)</f>
        <v>124422.00523942366</v>
      </c>
      <c r="L27" s="16">
        <f t="shared" si="27"/>
        <v>139968.18135311725</v>
      </c>
      <c r="M27" s="16">
        <f t="shared" si="27"/>
        <v>157456.80801077138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 outlineLevel="1" x14ac:dyDescent="0.3">
      <c r="A28" s="7" t="s">
        <v>19</v>
      </c>
      <c r="B28" s="7"/>
      <c r="C28" s="8"/>
      <c r="D28" s="15" t="s">
        <v>78</v>
      </c>
      <c r="E28" s="7">
        <v>135620</v>
      </c>
      <c r="F28" s="7">
        <v>146052</v>
      </c>
      <c r="G28" s="7">
        <v>171008</v>
      </c>
      <c r="H28" s="7">
        <v>193893</v>
      </c>
      <c r="I28" s="7">
        <f>I26-I27</f>
        <v>218606.63296498678</v>
      </c>
      <c r="J28" s="7">
        <f t="shared" ref="J28:M28" si="28">J26-J27</f>
        <v>245920.91076621314</v>
      </c>
      <c r="K28" s="7">
        <f t="shared" si="28"/>
        <v>276648.02998804755</v>
      </c>
      <c r="L28" s="7">
        <f t="shared" si="28"/>
        <v>311214.415471263</v>
      </c>
      <c r="M28" s="7">
        <f t="shared" si="28"/>
        <v>350099.77262915799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 outlineLevel="1" x14ac:dyDescent="0.3">
      <c r="A29" s="5" t="s">
        <v>20</v>
      </c>
      <c r="B29" s="5"/>
      <c r="C29" s="14"/>
      <c r="D29" s="15" t="s">
        <v>78</v>
      </c>
      <c r="E29" s="17"/>
      <c r="F29" s="17"/>
      <c r="G29" s="17"/>
      <c r="H29" s="17"/>
      <c r="I29" s="17"/>
      <c r="J29" s="17"/>
      <c r="K29" s="17"/>
      <c r="L29" s="5"/>
      <c r="M29" s="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 outlineLevel="1" x14ac:dyDescent="0.3">
      <c r="A30" s="1" t="s">
        <v>75</v>
      </c>
      <c r="B30" s="1"/>
      <c r="C30" s="3"/>
      <c r="D30" s="15" t="s">
        <v>78</v>
      </c>
      <c r="E30" s="4">
        <v>24512</v>
      </c>
      <c r="F30" s="4">
        <v>27195</v>
      </c>
      <c r="G30" s="4">
        <v>29510</v>
      </c>
      <c r="H30" s="4">
        <v>32488</v>
      </c>
      <c r="I30" s="1">
        <f>((H30*(1+I8)))</f>
        <v>36547.283312544183</v>
      </c>
      <c r="J30" s="1">
        <f t="shared" ref="J30:M30" si="29">((I30*(1+J8)))</f>
        <v>41113.762543935314</v>
      </c>
      <c r="K30" s="1">
        <f t="shared" si="29"/>
        <v>46250.810383460703</v>
      </c>
      <c r="L30" s="1">
        <f t="shared" si="29"/>
        <v>52029.717757913648</v>
      </c>
      <c r="M30" s="1">
        <f t="shared" si="29"/>
        <v>58530.683192876793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 outlineLevel="1" x14ac:dyDescent="0.3">
      <c r="A31" s="1" t="s">
        <v>76</v>
      </c>
      <c r="B31" s="1"/>
      <c r="C31" s="3"/>
      <c r="D31" s="15" t="s">
        <v>78</v>
      </c>
      <c r="E31" s="4">
        <v>27725</v>
      </c>
      <c r="F31" s="4">
        <v>30334</v>
      </c>
      <c r="G31" s="4">
        <v>32065</v>
      </c>
      <c r="H31" s="4">
        <v>32877</v>
      </c>
      <c r="I31" s="1">
        <f>((I26)*(I10))</f>
        <v>42031.22372457452</v>
      </c>
      <c r="J31" s="1">
        <f t="shared" ref="J31:M31" si="30">((J26)*(J10))</f>
        <v>47282.905732422849</v>
      </c>
      <c r="K31" s="1">
        <f t="shared" si="30"/>
        <v>53190.770488893664</v>
      </c>
      <c r="L31" s="1">
        <f t="shared" si="30"/>
        <v>59836.806164433357</v>
      </c>
      <c r="M31" s="1">
        <f t="shared" si="30"/>
        <v>67313.245118484861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 outlineLevel="1" x14ac:dyDescent="0.3">
      <c r="A32" s="1" t="s">
        <v>77</v>
      </c>
      <c r="B32" s="1"/>
      <c r="C32" s="3"/>
      <c r="D32" s="15" t="s">
        <v>78</v>
      </c>
      <c r="E32" s="4" t="s">
        <v>78</v>
      </c>
      <c r="F32" s="4" t="s">
        <v>78</v>
      </c>
      <c r="G32" s="4" t="s">
        <v>78</v>
      </c>
      <c r="H32" s="4" t="s">
        <v>78</v>
      </c>
      <c r="I32" s="4" t="s">
        <v>78</v>
      </c>
      <c r="J32" s="4" t="s">
        <v>78</v>
      </c>
      <c r="K32" s="4" t="s">
        <v>78</v>
      </c>
      <c r="L32" s="4" t="s">
        <v>78</v>
      </c>
      <c r="M32" s="4" t="s">
        <v>78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 outlineLevel="1" x14ac:dyDescent="0.3">
      <c r="A33" s="5" t="s">
        <v>21</v>
      </c>
      <c r="B33" s="1"/>
      <c r="C33" s="3"/>
      <c r="D33" s="15" t="s">
        <v>78</v>
      </c>
      <c r="E33" s="5">
        <f>SUM(E30,E31,E32)</f>
        <v>52237</v>
      </c>
      <c r="F33" s="5">
        <f t="shared" ref="F33:G33" si="31">SUM(F30,F31,F32)</f>
        <v>57529</v>
      </c>
      <c r="G33" s="5">
        <f t="shared" si="31"/>
        <v>61575</v>
      </c>
      <c r="H33" s="5">
        <f>SUM(H30,H31,H32)</f>
        <v>65365</v>
      </c>
      <c r="I33" s="5">
        <f t="shared" ref="I33:M33" si="32">SUM(I30,I31,I32)</f>
        <v>78578.507037118703</v>
      </c>
      <c r="J33" s="5">
        <f t="shared" si="32"/>
        <v>88396.668276358163</v>
      </c>
      <c r="K33" s="5">
        <f t="shared" si="32"/>
        <v>99441.58087235436</v>
      </c>
      <c r="L33" s="5">
        <f t="shared" si="32"/>
        <v>111866.523922347</v>
      </c>
      <c r="M33" s="5">
        <f t="shared" si="32"/>
        <v>125843.92831136165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 outlineLevel="1" x14ac:dyDescent="0.3">
      <c r="A34" s="7" t="s">
        <v>22</v>
      </c>
      <c r="B34" s="7"/>
      <c r="C34" s="8"/>
      <c r="D34" s="15" t="s">
        <v>78</v>
      </c>
      <c r="E34" s="7">
        <f>(E28-E33)</f>
        <v>83383</v>
      </c>
      <c r="F34" s="7">
        <f t="shared" ref="F34:H34" si="33">(F28-F33)</f>
        <v>88523</v>
      </c>
      <c r="G34" s="7">
        <f t="shared" si="33"/>
        <v>109433</v>
      </c>
      <c r="H34" s="7">
        <f t="shared" si="33"/>
        <v>128528</v>
      </c>
      <c r="I34" s="7">
        <f>(I28-I33)</f>
        <v>140028.12592786807</v>
      </c>
      <c r="J34" s="7">
        <f>(J28-J33)</f>
        <v>157524.24248985498</v>
      </c>
      <c r="K34" s="7">
        <f t="shared" ref="K34:M34" si="34">(K28-K33)</f>
        <v>177206.44911569319</v>
      </c>
      <c r="L34" s="7">
        <f t="shared" si="34"/>
        <v>199347.891548916</v>
      </c>
      <c r="M34" s="7">
        <f t="shared" si="34"/>
        <v>224255.84431779635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 outlineLevel="1" x14ac:dyDescent="0.3">
      <c r="A35" s="5"/>
      <c r="B35" s="5"/>
      <c r="C35" s="14"/>
      <c r="D35" s="15"/>
      <c r="E35" s="15"/>
      <c r="F35" s="15"/>
      <c r="G35" s="15"/>
      <c r="H35" s="15"/>
      <c r="I35" s="5"/>
      <c r="J35" s="5"/>
      <c r="K35" s="5"/>
      <c r="L35" s="5"/>
      <c r="M35" s="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 outlineLevel="1" x14ac:dyDescent="0.3">
      <c r="A36" s="1" t="s">
        <v>23</v>
      </c>
      <c r="B36" s="1"/>
      <c r="C36" s="3"/>
      <c r="D36" s="4" t="s">
        <v>78</v>
      </c>
      <c r="E36" s="4">
        <v>10978</v>
      </c>
      <c r="F36" s="4">
        <v>16950</v>
      </c>
      <c r="G36" s="4">
        <v>19651</v>
      </c>
      <c r="H36" s="4">
        <v>21795</v>
      </c>
      <c r="I36" s="16">
        <f>((I34*I14))</f>
        <v>23534.464130447388</v>
      </c>
      <c r="J36" s="16">
        <f t="shared" ref="J36:M36" si="35">((J34*J14))</f>
        <v>26475.028570068011</v>
      </c>
      <c r="K36" s="16">
        <f t="shared" si="35"/>
        <v>29783.008183266964</v>
      </c>
      <c r="L36" s="16">
        <f t="shared" si="35"/>
        <v>33504.31045228021</v>
      </c>
      <c r="M36" s="16">
        <f t="shared" si="35"/>
        <v>37690.578868841432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2" outlineLevel="1" thickBot="1" x14ac:dyDescent="0.35">
      <c r="A37" s="18" t="s">
        <v>24</v>
      </c>
      <c r="B37" s="18"/>
      <c r="C37" s="19"/>
      <c r="D37" s="18" t="s">
        <v>78</v>
      </c>
      <c r="E37" s="18">
        <f>E34-E36</f>
        <v>72405</v>
      </c>
      <c r="F37" s="18">
        <f t="shared" ref="F37:M37" si="36">F34-F36</f>
        <v>71573</v>
      </c>
      <c r="G37" s="18">
        <f t="shared" si="36"/>
        <v>89782</v>
      </c>
      <c r="H37" s="18">
        <f>H34-H36</f>
        <v>106733</v>
      </c>
      <c r="I37" s="18">
        <f t="shared" si="36"/>
        <v>116493.66179742067</v>
      </c>
      <c r="J37" s="18">
        <f t="shared" si="36"/>
        <v>131049.21391978697</v>
      </c>
      <c r="K37" s="18">
        <f t="shared" si="36"/>
        <v>147423.44093242622</v>
      </c>
      <c r="L37" s="18">
        <f>L34-L36</f>
        <v>165843.58109663578</v>
      </c>
      <c r="M37" s="18">
        <f t="shared" si="36"/>
        <v>186565.26544895492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2" outlineLevel="1" thickTop="1" x14ac:dyDescent="0.3">
      <c r="A38" s="1"/>
      <c r="B38" s="1"/>
      <c r="C38" s="3"/>
      <c r="D38" s="4"/>
      <c r="E38" s="4"/>
      <c r="F38" s="4"/>
      <c r="G38" s="4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 x14ac:dyDescent="0.3">
      <c r="A39" s="1"/>
      <c r="B39" s="1"/>
      <c r="C39" s="3"/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x14ac:dyDescent="0.3">
      <c r="A40" s="69" t="s">
        <v>25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 outlineLevel="1" x14ac:dyDescent="0.3">
      <c r="A41" s="1"/>
      <c r="B41" s="1"/>
      <c r="C41" s="3"/>
      <c r="D41" s="4"/>
      <c r="E41" s="4"/>
      <c r="F41" s="4"/>
      <c r="G41" s="4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 outlineLevel="1" x14ac:dyDescent="0.3">
      <c r="A42" s="5" t="s">
        <v>26</v>
      </c>
      <c r="B42" s="1"/>
      <c r="C42" s="3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 outlineLevel="1" x14ac:dyDescent="0.3">
      <c r="A43" s="1" t="s">
        <v>27</v>
      </c>
      <c r="B43" s="1"/>
      <c r="D43" s="4" t="s">
        <v>78</v>
      </c>
      <c r="E43" s="4">
        <v>13931</v>
      </c>
      <c r="F43" s="4">
        <v>34704</v>
      </c>
      <c r="G43" s="4">
        <v>18315</v>
      </c>
      <c r="H43" s="4">
        <v>30242</v>
      </c>
      <c r="I43" s="1">
        <f>I81</f>
        <v>109755.07654568669</v>
      </c>
      <c r="J43" s="1">
        <f t="shared" ref="J43:M43" si="37">J81</f>
        <v>203481.8395404249</v>
      </c>
      <c r="K43" s="1">
        <f t="shared" si="37"/>
        <v>313673.09209480986</v>
      </c>
      <c r="L43" s="1">
        <f t="shared" si="37"/>
        <v>442159.5126661245</v>
      </c>
      <c r="M43" s="1">
        <f t="shared" si="37"/>
        <v>591033.59010841628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 outlineLevel="1" x14ac:dyDescent="0.3">
      <c r="A44" s="1" t="s">
        <v>28</v>
      </c>
      <c r="B44" s="1"/>
      <c r="D44" s="4" t="s">
        <v>78</v>
      </c>
      <c r="E44" s="4">
        <v>44261</v>
      </c>
      <c r="F44" s="4">
        <v>48688</v>
      </c>
      <c r="G44" s="4">
        <v>56924</v>
      </c>
      <c r="H44" s="4">
        <v>69905</v>
      </c>
      <c r="I44" s="20">
        <f>((I26/365)*I15)</f>
        <v>73950.288326663052</v>
      </c>
      <c r="J44" s="20">
        <f t="shared" ref="J44:M44" si="38">((J26/365)*J15)</f>
        <v>83190.166785240217</v>
      </c>
      <c r="K44" s="20">
        <f t="shared" si="38"/>
        <v>93584.541809836766</v>
      </c>
      <c r="L44" s="20">
        <f t="shared" si="38"/>
        <v>105277.66446684132</v>
      </c>
      <c r="M44" s="20">
        <f t="shared" si="38"/>
        <v>118431.80958361905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 outlineLevel="1" x14ac:dyDescent="0.3">
      <c r="A45" s="1" t="s">
        <v>29</v>
      </c>
      <c r="B45" s="1"/>
      <c r="D45" s="4" t="s">
        <v>78</v>
      </c>
      <c r="E45" s="4">
        <v>3742</v>
      </c>
      <c r="F45" s="4">
        <v>2500</v>
      </c>
      <c r="G45" s="4">
        <v>1246</v>
      </c>
      <c r="H45" s="4">
        <v>938</v>
      </c>
      <c r="I45" s="1">
        <f>((I27/365)*I16)</f>
        <v>3076.8063598296608</v>
      </c>
      <c r="J45" s="1">
        <f t="shared" ref="J45:M45" si="39">((J27/365)*J16)</f>
        <v>3461.2445743207459</v>
      </c>
      <c r="K45" s="1">
        <f t="shared" si="39"/>
        <v>3893.7172516531236</v>
      </c>
      <c r="L45" s="1">
        <f t="shared" si="39"/>
        <v>4380.2261615090993</v>
      </c>
      <c r="M45" s="1">
        <f t="shared" si="39"/>
        <v>4927.5229776437754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 outlineLevel="1" x14ac:dyDescent="0.3">
      <c r="A46" s="1" t="s">
        <v>30</v>
      </c>
      <c r="B46" s="1"/>
      <c r="C46" s="3"/>
      <c r="D46" s="4" t="s">
        <v>78</v>
      </c>
      <c r="E46" s="4">
        <v>87546</v>
      </c>
      <c r="F46" s="4">
        <v>109987</v>
      </c>
      <c r="G46" s="4">
        <v>154552</v>
      </c>
      <c r="H46" s="4">
        <v>229789</v>
      </c>
      <c r="I46" s="1">
        <f>I98</f>
        <v>236493.57146400027</v>
      </c>
      <c r="J46" s="1">
        <f t="shared" ref="J46:M46" si="40">J98</f>
        <v>242219.23217983457</v>
      </c>
      <c r="K46" s="1">
        <f t="shared" si="40"/>
        <v>247108.90944092054</v>
      </c>
      <c r="L46" s="1">
        <f>L98</f>
        <v>251284.66223246499</v>
      </c>
      <c r="M46" s="1">
        <f t="shared" si="40"/>
        <v>254850.72813928078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2" outlineLevel="1" thickBot="1" x14ac:dyDescent="0.35">
      <c r="A47" s="18" t="s">
        <v>31</v>
      </c>
      <c r="B47" s="18"/>
      <c r="C47" s="19"/>
      <c r="D47" s="4" t="s">
        <v>78</v>
      </c>
      <c r="E47" s="18">
        <f>SUM(E43,E44,E45,E46)</f>
        <v>149480</v>
      </c>
      <c r="F47" s="18">
        <f t="shared" ref="F47:G47" si="41">SUM(F43,F44,F45,F46)</f>
        <v>195879</v>
      </c>
      <c r="G47" s="18">
        <f t="shared" si="41"/>
        <v>231037</v>
      </c>
      <c r="H47" s="18">
        <f>SUM(H43,H44,H45,H46)</f>
        <v>330874</v>
      </c>
      <c r="I47" s="18">
        <f>SUM(I43:I46)</f>
        <v>423275.74269617966</v>
      </c>
      <c r="J47" s="18">
        <f t="shared" ref="J47:M47" si="42">SUM(J43:J46)</f>
        <v>532352.48307982041</v>
      </c>
      <c r="K47" s="18">
        <f t="shared" si="42"/>
        <v>658260.26059722027</v>
      </c>
      <c r="L47" s="18">
        <f t="shared" si="42"/>
        <v>803102.06552693981</v>
      </c>
      <c r="M47" s="18">
        <f t="shared" si="42"/>
        <v>969243.65080895985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2" outlineLevel="1" thickTop="1" x14ac:dyDescent="0.3">
      <c r="A48" s="5"/>
      <c r="B48" s="5"/>
      <c r="C48" s="14"/>
      <c r="D48" s="15"/>
      <c r="E48" s="15"/>
      <c r="F48" s="15"/>
      <c r="G48" s="15"/>
      <c r="H48" s="15"/>
      <c r="I48" s="5"/>
      <c r="J48" s="5"/>
      <c r="K48" s="5"/>
      <c r="L48" s="5"/>
      <c r="M48" s="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6" outlineLevel="1" x14ac:dyDescent="0.3">
      <c r="A49" s="5" t="s">
        <v>32</v>
      </c>
      <c r="B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 outlineLevel="1" x14ac:dyDescent="0.3">
      <c r="A50" s="1" t="s">
        <v>33</v>
      </c>
      <c r="B50" s="1"/>
      <c r="D50" s="70" t="s">
        <v>78</v>
      </c>
      <c r="E50" s="70">
        <v>19000</v>
      </c>
      <c r="F50" s="70">
        <v>18095</v>
      </c>
      <c r="G50" s="70">
        <v>21996</v>
      </c>
      <c r="H50" s="70">
        <v>27724</v>
      </c>
      <c r="I50" s="1">
        <f>((I27/365*I17))</f>
        <v>29260.580898758999</v>
      </c>
      <c r="J50" s="1">
        <f t="shared" ref="J50:M50" si="43">((J27/365*J17))</f>
        <v>32916.607362612784</v>
      </c>
      <c r="K50" s="1">
        <f t="shared" si="43"/>
        <v>37029.443947586406</v>
      </c>
      <c r="L50" s="1">
        <f t="shared" si="43"/>
        <v>41656.167780670243</v>
      </c>
      <c r="M50" s="1">
        <f t="shared" si="43"/>
        <v>46860.987613735233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 outlineLevel="1" x14ac:dyDescent="0.3">
      <c r="A51" s="1" t="s">
        <v>34</v>
      </c>
      <c r="B51" s="1"/>
      <c r="C51" s="3"/>
      <c r="D51" s="70" t="s">
        <v>78</v>
      </c>
      <c r="E51" s="4">
        <v>61270</v>
      </c>
      <c r="F51" s="4">
        <v>59965</v>
      </c>
      <c r="G51" s="4">
        <v>67127</v>
      </c>
      <c r="H51" s="4">
        <v>60588</v>
      </c>
      <c r="I51" s="1">
        <f>(H51+I19)</f>
        <v>55672</v>
      </c>
      <c r="J51" s="1">
        <f t="shared" ref="J51:L51" si="44">(I51+J19)</f>
        <v>50756</v>
      </c>
      <c r="K51" s="1">
        <f>(J51+K19)</f>
        <v>45840</v>
      </c>
      <c r="L51" s="1">
        <f t="shared" si="44"/>
        <v>40924</v>
      </c>
      <c r="M51" s="1">
        <f>(L51+M19)</f>
        <v>36008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 outlineLevel="1" x14ac:dyDescent="0.3">
      <c r="A52" s="7" t="s">
        <v>35</v>
      </c>
      <c r="B52" s="7"/>
      <c r="C52" s="8"/>
      <c r="D52" s="70" t="s">
        <v>78</v>
      </c>
      <c r="E52" s="7">
        <f>SUM(E50,E51)</f>
        <v>80270</v>
      </c>
      <c r="F52" s="7">
        <f t="shared" ref="F52:G52" si="45">SUM(F50,F51)</f>
        <v>78060</v>
      </c>
      <c r="G52" s="7">
        <f t="shared" si="45"/>
        <v>89123</v>
      </c>
      <c r="H52" s="7">
        <f>SUM(H50,H51)</f>
        <v>88312</v>
      </c>
      <c r="I52" s="7">
        <f>SUM(I50:I51)</f>
        <v>84932.580898758999</v>
      </c>
      <c r="J52" s="7">
        <f t="shared" ref="J52:M52" si="46">SUM(J50:J51)</f>
        <v>83672.607362612791</v>
      </c>
      <c r="K52" s="7">
        <f t="shared" si="46"/>
        <v>82869.443947586406</v>
      </c>
      <c r="L52" s="7">
        <f t="shared" si="46"/>
        <v>82580.16778067025</v>
      </c>
      <c r="M52" s="7">
        <f t="shared" si="46"/>
        <v>82868.987613735226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 outlineLevel="1" x14ac:dyDescent="0.3">
      <c r="A53" s="5" t="s">
        <v>36</v>
      </c>
      <c r="B53" s="1"/>
      <c r="C53" s="3"/>
      <c r="D53" s="70"/>
      <c r="E53" s="4"/>
      <c r="F53" s="4"/>
      <c r="G53" s="4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 outlineLevel="1" x14ac:dyDescent="0.3">
      <c r="A54" s="1" t="s">
        <v>37</v>
      </c>
      <c r="B54" s="1"/>
      <c r="C54" s="3"/>
      <c r="D54" s="70" t="s">
        <v>78</v>
      </c>
      <c r="E54" s="4">
        <v>86939</v>
      </c>
      <c r="F54" s="4">
        <v>93718</v>
      </c>
      <c r="G54" s="4">
        <v>100923</v>
      </c>
      <c r="H54" s="4">
        <v>109095</v>
      </c>
      <c r="I54" s="4">
        <f>(H54+I20)</f>
        <v>88382.5</v>
      </c>
      <c r="J54" s="4">
        <f t="shared" ref="J54:M54" si="47">(I54+J20)</f>
        <v>67670</v>
      </c>
      <c r="K54" s="4">
        <f t="shared" si="47"/>
        <v>46957.5</v>
      </c>
      <c r="L54" s="4">
        <f t="shared" si="47"/>
        <v>26245</v>
      </c>
      <c r="M54" s="4">
        <f t="shared" si="47"/>
        <v>5532.5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 outlineLevel="1" x14ac:dyDescent="0.3">
      <c r="A55" s="1" t="s">
        <v>38</v>
      </c>
      <c r="B55" s="1"/>
      <c r="C55" s="3"/>
      <c r="D55" s="70" t="s">
        <v>78</v>
      </c>
      <c r="E55" s="4">
        <v>84281</v>
      </c>
      <c r="F55" s="4">
        <v>118848</v>
      </c>
      <c r="G55" s="4">
        <v>173144</v>
      </c>
      <c r="H55" s="4">
        <v>237731</v>
      </c>
      <c r="I55" s="1">
        <f>H55+I37</f>
        <v>354224.6617974207</v>
      </c>
      <c r="J55" s="1">
        <f t="shared" ref="J55:L55" si="48">I55+J37</f>
        <v>485273.87571720767</v>
      </c>
      <c r="K55" s="1">
        <f t="shared" si="48"/>
        <v>632697.31664963393</v>
      </c>
      <c r="L55" s="1">
        <f t="shared" si="48"/>
        <v>798540.89774626971</v>
      </c>
      <c r="M55" s="1">
        <f>L55+M37</f>
        <v>985106.1631952246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 outlineLevel="1" x14ac:dyDescent="0.3">
      <c r="A56" s="21" t="s">
        <v>36</v>
      </c>
      <c r="B56" s="21"/>
      <c r="C56" s="22"/>
      <c r="D56" s="70" t="s">
        <v>78</v>
      </c>
      <c r="E56" s="21">
        <f>SUM(E54:E55)</f>
        <v>171220</v>
      </c>
      <c r="F56" s="21">
        <f t="shared" ref="F56" si="49">SUM(F54:F55)</f>
        <v>212566</v>
      </c>
      <c r="G56" s="21">
        <f>SUM(G54:G55)</f>
        <v>274067</v>
      </c>
      <c r="H56" s="21">
        <f>SUM(H54:H55)</f>
        <v>346826</v>
      </c>
      <c r="I56" s="21">
        <f>SUM(I54:I55)</f>
        <v>442607.1617974207</v>
      </c>
      <c r="J56" s="21">
        <f t="shared" ref="J56:M56" si="50">SUM(J54:J55)</f>
        <v>552943.87571720767</v>
      </c>
      <c r="K56" s="21">
        <f t="shared" si="50"/>
        <v>679654.81664963393</v>
      </c>
      <c r="L56" s="21">
        <f t="shared" si="50"/>
        <v>824785.89774626971</v>
      </c>
      <c r="M56" s="21">
        <f t="shared" si="50"/>
        <v>990638.6631952246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2" outlineLevel="1" thickBot="1" x14ac:dyDescent="0.35">
      <c r="A57" s="18" t="s">
        <v>39</v>
      </c>
      <c r="B57" s="18"/>
      <c r="C57" s="19"/>
      <c r="D57" s="70" t="s">
        <v>78</v>
      </c>
      <c r="E57" s="18">
        <f>(E52+E56)</f>
        <v>251490</v>
      </c>
      <c r="F57" s="18">
        <f t="shared" ref="F57:L57" si="51">(F52+F56)</f>
        <v>290626</v>
      </c>
      <c r="G57" s="18">
        <f t="shared" si="51"/>
        <v>363190</v>
      </c>
      <c r="H57" s="18">
        <f t="shared" si="51"/>
        <v>435138</v>
      </c>
      <c r="I57" s="18">
        <f>(I52+I56)</f>
        <v>527539.74269617966</v>
      </c>
      <c r="J57" s="18">
        <f t="shared" si="51"/>
        <v>636616.48307982041</v>
      </c>
      <c r="K57" s="18">
        <f t="shared" si="51"/>
        <v>762524.26059722039</v>
      </c>
      <c r="L57" s="18">
        <f t="shared" si="51"/>
        <v>907366.06552693993</v>
      </c>
      <c r="M57" s="18">
        <f>(M52+M56)</f>
        <v>1073507.6508089597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2" outlineLevel="1" thickTop="1" x14ac:dyDescent="0.3">
      <c r="A58" s="1"/>
      <c r="B58" s="1"/>
      <c r="C58" s="3"/>
      <c r="D58" s="4"/>
      <c r="E58" s="4"/>
      <c r="F58" s="4"/>
      <c r="G58" s="4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 outlineLevel="1" x14ac:dyDescent="0.3">
      <c r="A59" s="11"/>
      <c r="B59" s="23"/>
      <c r="C59" s="24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 outlineLevel="1" x14ac:dyDescent="0.3">
      <c r="A60" s="23"/>
      <c r="B60" s="23"/>
      <c r="C60" s="24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 x14ac:dyDescent="0.3">
      <c r="A61" s="1"/>
      <c r="B61" s="1"/>
      <c r="C61" s="3"/>
      <c r="D61" s="4"/>
      <c r="E61" s="4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x14ac:dyDescent="0.3">
      <c r="A62" s="69" t="s">
        <v>40</v>
      </c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 outlineLevel="1" x14ac:dyDescent="0.3">
      <c r="A63" s="5"/>
      <c r="B63" s="1"/>
      <c r="C63" s="3"/>
      <c r="D63" s="15"/>
      <c r="E63" s="4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 outlineLevel="1" x14ac:dyDescent="0.3">
      <c r="A64" s="5" t="s">
        <v>41</v>
      </c>
      <c r="B64" s="1"/>
      <c r="C64" s="3"/>
      <c r="D64" s="4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 outlineLevel="1" x14ac:dyDescent="0.3">
      <c r="A65" s="1" t="s">
        <v>24</v>
      </c>
      <c r="B65" s="1"/>
      <c r="C65" s="3"/>
      <c r="D65" s="4" t="s">
        <v>78</v>
      </c>
      <c r="E65" s="4">
        <v>72738</v>
      </c>
      <c r="F65" s="4">
        <v>72631</v>
      </c>
      <c r="G65" s="4">
        <v>88136</v>
      </c>
      <c r="H65" s="4">
        <v>101832</v>
      </c>
      <c r="I65" s="1">
        <f>I37</f>
        <v>116493.66179742067</v>
      </c>
      <c r="J65" s="1">
        <f t="shared" ref="J65:M65" si="52">J37</f>
        <v>131049.21391978697</v>
      </c>
      <c r="K65" s="1">
        <f t="shared" si="52"/>
        <v>147423.44093242622</v>
      </c>
      <c r="L65" s="1">
        <f t="shared" si="52"/>
        <v>165843.58109663578</v>
      </c>
      <c r="M65" s="1">
        <f t="shared" si="52"/>
        <v>186565.26544895492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 outlineLevel="1" x14ac:dyDescent="0.3">
      <c r="A66" s="1" t="s">
        <v>42</v>
      </c>
      <c r="B66" s="1"/>
      <c r="C66" s="3"/>
      <c r="D66" s="4" t="s">
        <v>78</v>
      </c>
      <c r="E66" s="4">
        <v>14460</v>
      </c>
      <c r="F66" s="4">
        <v>13861</v>
      </c>
      <c r="G66" s="4">
        <v>22287</v>
      </c>
      <c r="H66" s="4">
        <v>34153</v>
      </c>
      <c r="I66" s="1">
        <f>I97</f>
        <v>33550.678535999738</v>
      </c>
      <c r="J66" s="1">
        <f t="shared" ref="J66:M66" si="53">J97</f>
        <v>34529.589284165711</v>
      </c>
      <c r="K66" s="1">
        <f t="shared" si="53"/>
        <v>35365.572738914016</v>
      </c>
      <c r="L66" s="1">
        <f t="shared" si="53"/>
        <v>36079.49720845557</v>
      </c>
      <c r="M66" s="1">
        <f t="shared" si="53"/>
        <v>36689.184093184216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 outlineLevel="1" x14ac:dyDescent="0.3">
      <c r="A67" s="1" t="s">
        <v>43</v>
      </c>
      <c r="B67" s="1"/>
      <c r="C67" s="3"/>
      <c r="D67" s="4" t="s">
        <v>78</v>
      </c>
      <c r="E67" s="4">
        <f>446000/1000</f>
        <v>446</v>
      </c>
      <c r="F67" s="4">
        <f>-2388000/1000</f>
        <v>-2388</v>
      </c>
      <c r="G67" s="4">
        <f>1824000/1000</f>
        <v>1824</v>
      </c>
      <c r="H67" s="4">
        <v>-5350</v>
      </c>
      <c r="I67" s="1">
        <f>I92</f>
        <v>4647.5137877337111</v>
      </c>
      <c r="J67" s="1">
        <f t="shared" ref="J67:M67" si="54">J92</f>
        <v>5968.2902092144723</v>
      </c>
      <c r="K67" s="1">
        <f t="shared" si="54"/>
        <v>6714.0111169553056</v>
      </c>
      <c r="L67" s="1">
        <f t="shared" si="54"/>
        <v>7552.9077337766939</v>
      </c>
      <c r="M67" s="1">
        <f t="shared" si="54"/>
        <v>8496.6220998474164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 outlineLevel="1" x14ac:dyDescent="0.3">
      <c r="A68" s="7" t="s">
        <v>44</v>
      </c>
      <c r="B68" s="6"/>
      <c r="C68" s="25"/>
      <c r="D68" s="7" t="s">
        <v>78</v>
      </c>
      <c r="E68" s="7">
        <f>((E65+E66)-E67)</f>
        <v>86752</v>
      </c>
      <c r="F68" s="7">
        <f t="shared" ref="F68:G68" si="55">((F65+F66)-F67)</f>
        <v>88880</v>
      </c>
      <c r="G68" s="7">
        <f t="shared" si="55"/>
        <v>108599</v>
      </c>
      <c r="H68" s="7">
        <f>((H65+H66)-H67)</f>
        <v>141335</v>
      </c>
      <c r="I68" s="7">
        <f t="shared" ref="I68:M68" si="56">((I65+I66)-I67)</f>
        <v>145396.82654568669</v>
      </c>
      <c r="J68" s="7">
        <f>((J65+J66)-J67)</f>
        <v>159610.51299473821</v>
      </c>
      <c r="K68" s="7">
        <f t="shared" si="56"/>
        <v>176075.00255438493</v>
      </c>
      <c r="L68" s="7">
        <f t="shared" si="56"/>
        <v>194370.17057131467</v>
      </c>
      <c r="M68" s="7">
        <f t="shared" si="56"/>
        <v>214757.82744229172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6" outlineLevel="1" x14ac:dyDescent="0.3">
      <c r="A69" s="5"/>
      <c r="B69" s="1"/>
      <c r="C69" s="3"/>
      <c r="D69" s="15"/>
      <c r="E69" s="15"/>
      <c r="F69" s="15"/>
      <c r="G69" s="4"/>
      <c r="H69" s="15"/>
      <c r="I69" s="5"/>
      <c r="J69" s="5"/>
      <c r="K69" s="5"/>
      <c r="L69" s="5"/>
      <c r="M69" s="5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6" outlineLevel="1" x14ac:dyDescent="0.3">
      <c r="A70" s="5" t="s">
        <v>45</v>
      </c>
      <c r="B70" s="1"/>
      <c r="C70" s="3"/>
      <c r="D70" s="4"/>
      <c r="E70" s="4"/>
      <c r="F70" s="4"/>
      <c r="G70" s="4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6" outlineLevel="1" x14ac:dyDescent="0.3">
      <c r="A71" s="1" t="s">
        <v>46</v>
      </c>
      <c r="B71" s="1"/>
      <c r="C71" s="3"/>
      <c r="D71" s="4" t="s">
        <v>78</v>
      </c>
      <c r="E71" s="4">
        <v>-23886</v>
      </c>
      <c r="F71" s="4">
        <v>-28107</v>
      </c>
      <c r="G71" s="4">
        <f>-44477</f>
        <v>-44477</v>
      </c>
      <c r="H71" s="4">
        <v>-64551</v>
      </c>
      <c r="I71" s="1">
        <f>I18</f>
        <v>-40255.25</v>
      </c>
      <c r="J71" s="1">
        <f t="shared" ref="J71:M71" si="57">J18</f>
        <v>-40255.25</v>
      </c>
      <c r="K71" s="1">
        <f>K18</f>
        <v>-40255.25</v>
      </c>
      <c r="L71" s="1">
        <f t="shared" si="57"/>
        <v>-40255.25</v>
      </c>
      <c r="M71" s="1">
        <f t="shared" si="57"/>
        <v>-40255.25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 outlineLevel="1" x14ac:dyDescent="0.3">
      <c r="A72" s="7" t="s">
        <v>47</v>
      </c>
      <c r="B72" s="6"/>
      <c r="C72" s="25"/>
      <c r="D72" s="7" t="s">
        <v>78</v>
      </c>
      <c r="E72" s="7">
        <f>E71</f>
        <v>-23886</v>
      </c>
      <c r="F72" s="7">
        <f t="shared" ref="F72:H72" si="58">F71</f>
        <v>-28107</v>
      </c>
      <c r="G72" s="7">
        <f t="shared" si="58"/>
        <v>-44477</v>
      </c>
      <c r="H72" s="7">
        <f t="shared" si="58"/>
        <v>-64551</v>
      </c>
      <c r="I72" s="7">
        <f>I71</f>
        <v>-40255.25</v>
      </c>
      <c r="J72" s="7">
        <f t="shared" ref="J72:M72" si="59">J71</f>
        <v>-40255.25</v>
      </c>
      <c r="K72" s="7">
        <f>K71</f>
        <v>-40255.25</v>
      </c>
      <c r="L72" s="7">
        <f t="shared" si="59"/>
        <v>-40255.25</v>
      </c>
      <c r="M72" s="7">
        <f t="shared" si="59"/>
        <v>-40255.25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 outlineLevel="1" x14ac:dyDescent="0.3">
      <c r="A73" s="5"/>
      <c r="B73" s="1"/>
      <c r="C73" s="3"/>
      <c r="D73" s="15"/>
      <c r="E73" s="15"/>
      <c r="F73" s="15"/>
      <c r="G73" s="15"/>
      <c r="H73" s="15"/>
      <c r="I73" s="5"/>
      <c r="J73" s="5"/>
      <c r="K73" s="5"/>
      <c r="L73" s="5"/>
      <c r="M73" s="5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 outlineLevel="1" x14ac:dyDescent="0.3">
      <c r="A74" s="5" t="s">
        <v>48</v>
      </c>
      <c r="B74" s="1"/>
      <c r="C74" s="3"/>
      <c r="D74" s="4"/>
      <c r="E74" s="4"/>
      <c r="F74" s="4"/>
      <c r="G74" s="4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6" outlineLevel="1" x14ac:dyDescent="0.3">
      <c r="A75" s="1" t="s">
        <v>49</v>
      </c>
      <c r="B75" s="1"/>
      <c r="C75" s="3"/>
      <c r="D75" s="4" t="s">
        <v>78</v>
      </c>
      <c r="E75" s="4">
        <f>0+-9023</f>
        <v>-9023</v>
      </c>
      <c r="F75" s="4">
        <f>(0+-2750)</f>
        <v>-2750</v>
      </c>
      <c r="G75" s="4">
        <f>24395+(-29070)</f>
        <v>-4675</v>
      </c>
      <c r="H75" s="4">
        <f>(0+-3216)</f>
        <v>-3216</v>
      </c>
      <c r="I75" s="1">
        <f>I102</f>
        <v>-4916</v>
      </c>
      <c r="J75" s="1">
        <f t="shared" ref="J75:M75" si="60">J102</f>
        <v>-4916</v>
      </c>
      <c r="K75" s="1">
        <f t="shared" si="60"/>
        <v>-4916</v>
      </c>
      <c r="L75" s="1">
        <f t="shared" si="60"/>
        <v>-4916</v>
      </c>
      <c r="M75" s="1">
        <f t="shared" si="60"/>
        <v>-4916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6" outlineLevel="1" x14ac:dyDescent="0.3">
      <c r="A76" s="1" t="s">
        <v>50</v>
      </c>
      <c r="B76" s="1"/>
      <c r="C76" s="3"/>
      <c r="D76" s="4" t="s">
        <v>78</v>
      </c>
      <c r="E76" s="4">
        <f>1841-32696</f>
        <v>-30855</v>
      </c>
      <c r="F76" s="4">
        <f>1866-22245</f>
        <v>-20379</v>
      </c>
      <c r="G76" s="4">
        <f>2002-17254</f>
        <v>-15252</v>
      </c>
      <c r="H76" s="4">
        <f>2056-18420</f>
        <v>-16364</v>
      </c>
      <c r="I76" s="1">
        <f>I20</f>
        <v>-20712.5</v>
      </c>
      <c r="J76" s="1">
        <f t="shared" ref="J76:M76" si="61">J20</f>
        <v>-20712.5</v>
      </c>
      <c r="K76" s="1">
        <f t="shared" si="61"/>
        <v>-20712.5</v>
      </c>
      <c r="L76" s="1">
        <f t="shared" si="61"/>
        <v>-20712.5</v>
      </c>
      <c r="M76" s="1">
        <f t="shared" si="61"/>
        <v>-20712.5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 outlineLevel="1" x14ac:dyDescent="0.3">
      <c r="A77" s="7" t="s">
        <v>51</v>
      </c>
      <c r="B77" s="6"/>
      <c r="C77" s="25"/>
      <c r="D77" s="7" t="s">
        <v>78</v>
      </c>
      <c r="E77" s="7">
        <f>SUM(E75:E76)</f>
        <v>-39878</v>
      </c>
      <c r="F77" s="7">
        <f t="shared" ref="F77:G77" si="62">SUM(F75:F76)</f>
        <v>-23129</v>
      </c>
      <c r="G77" s="7">
        <f t="shared" si="62"/>
        <v>-19927</v>
      </c>
      <c r="H77" s="7">
        <f>SUM(H75:H76)</f>
        <v>-19580</v>
      </c>
      <c r="I77" s="7">
        <f>SUM(I75:I76)</f>
        <v>-25628.5</v>
      </c>
      <c r="J77" s="7">
        <f t="shared" ref="J77:L77" si="63">SUM(J75:J76)</f>
        <v>-25628.5</v>
      </c>
      <c r="K77" s="7">
        <f t="shared" si="63"/>
        <v>-25628.5</v>
      </c>
      <c r="L77" s="7">
        <f t="shared" si="63"/>
        <v>-25628.5</v>
      </c>
      <c r="M77" s="7">
        <f>SUM(M75:M76)</f>
        <v>-25628.5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 outlineLevel="1" x14ac:dyDescent="0.3">
      <c r="A78" s="5"/>
      <c r="B78" s="1"/>
      <c r="C78" s="3"/>
      <c r="D78" s="15"/>
      <c r="E78" s="15"/>
      <c r="F78" s="15"/>
      <c r="G78" s="15"/>
      <c r="H78" s="15"/>
      <c r="I78" s="5"/>
      <c r="J78" s="5"/>
      <c r="K78" s="5"/>
      <c r="L78" s="5"/>
      <c r="M78" s="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 outlineLevel="1" x14ac:dyDescent="0.3">
      <c r="A79" s="1" t="s">
        <v>52</v>
      </c>
      <c r="B79" s="1"/>
      <c r="C79" s="3"/>
      <c r="D79" s="1" t="s">
        <v>78</v>
      </c>
      <c r="E79" s="1">
        <f>E77+E72+E68</f>
        <v>22988</v>
      </c>
      <c r="F79" s="1">
        <f t="shared" ref="F79:M79" si="64">F77+F72+F68</f>
        <v>37644</v>
      </c>
      <c r="G79" s="1">
        <f t="shared" si="64"/>
        <v>44195</v>
      </c>
      <c r="H79" s="1">
        <f t="shared" si="64"/>
        <v>57204</v>
      </c>
      <c r="I79" s="1">
        <f>I77+I72+I68</f>
        <v>79513.076545686694</v>
      </c>
      <c r="J79" s="1">
        <f t="shared" si="64"/>
        <v>93726.762994738208</v>
      </c>
      <c r="K79" s="1">
        <f t="shared" si="64"/>
        <v>110191.25255438493</v>
      </c>
      <c r="L79" s="1">
        <f t="shared" si="64"/>
        <v>128486.42057131467</v>
      </c>
      <c r="M79" s="1">
        <f t="shared" si="64"/>
        <v>148874.07744229172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 outlineLevel="1" x14ac:dyDescent="0.3">
      <c r="A80" s="1" t="s">
        <v>53</v>
      </c>
      <c r="B80" s="1"/>
      <c r="C80" s="3"/>
      <c r="D80" s="4" t="s">
        <v>78</v>
      </c>
      <c r="E80" s="4">
        <v>14224</v>
      </c>
      <c r="F80" s="4">
        <f>E81</f>
        <v>13931</v>
      </c>
      <c r="G80" s="4">
        <f>F81</f>
        <v>34704</v>
      </c>
      <c r="H80" s="4">
        <f>G81</f>
        <v>18315</v>
      </c>
      <c r="I80" s="4">
        <f>H81</f>
        <v>30242</v>
      </c>
      <c r="J80" s="4">
        <f>I81</f>
        <v>109755.07654568669</v>
      </c>
      <c r="K80" s="4">
        <f>J81</f>
        <v>203481.8395404249</v>
      </c>
      <c r="L80" s="4">
        <f t="shared" ref="L80" si="65">K81</f>
        <v>313673.09209480986</v>
      </c>
      <c r="M80" s="4">
        <f>L81</f>
        <v>442159.5126661245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 outlineLevel="1" x14ac:dyDescent="0.3">
      <c r="A81" s="7" t="s">
        <v>54</v>
      </c>
      <c r="B81" s="6"/>
      <c r="C81" s="25"/>
      <c r="D81" s="4" t="s">
        <v>78</v>
      </c>
      <c r="E81" s="4">
        <f>E43</f>
        <v>13931</v>
      </c>
      <c r="F81" s="4">
        <f t="shared" ref="F81:H81" si="66">F43</f>
        <v>34704</v>
      </c>
      <c r="G81" s="4">
        <f t="shared" si="66"/>
        <v>18315</v>
      </c>
      <c r="H81" s="4">
        <f t="shared" si="66"/>
        <v>30242</v>
      </c>
      <c r="I81" s="4">
        <f>SUM(I79:I80)</f>
        <v>109755.07654568669</v>
      </c>
      <c r="J81" s="4">
        <f>SUM(J79:J80)</f>
        <v>203481.8395404249</v>
      </c>
      <c r="K81" s="4">
        <f t="shared" ref="K81:L81" si="67">SUM(K79:K80)</f>
        <v>313673.09209480986</v>
      </c>
      <c r="L81" s="4">
        <f t="shared" si="67"/>
        <v>442159.5126661245</v>
      </c>
      <c r="M81" s="4">
        <f>SUM(M79:M80)</f>
        <v>591033.59010841628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6" outlineLevel="1" x14ac:dyDescent="0.3">
      <c r="A82" s="5"/>
      <c r="B82" s="1"/>
      <c r="C82" s="3"/>
      <c r="D82" s="15"/>
      <c r="E82" s="15"/>
      <c r="F82" s="15"/>
      <c r="G82" s="15"/>
      <c r="H82" s="1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6" outlineLevel="1" x14ac:dyDescent="0.3">
      <c r="A83" s="5"/>
      <c r="B83" s="1"/>
      <c r="C83" s="3"/>
      <c r="D83" s="15"/>
      <c r="E83" s="4"/>
      <c r="F83" s="4"/>
      <c r="G83" s="4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6" x14ac:dyDescent="0.3">
      <c r="A84" s="1"/>
      <c r="B84" s="1"/>
      <c r="C84" s="3"/>
      <c r="D84" s="4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 x14ac:dyDescent="0.3">
      <c r="A85" s="69" t="s">
        <v>55</v>
      </c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6" outlineLevel="1" x14ac:dyDescent="0.3">
      <c r="A86" s="1"/>
      <c r="B86" s="1"/>
      <c r="C86" s="3"/>
      <c r="D86" s="4"/>
      <c r="E86" s="4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6" outlineLevel="1" x14ac:dyDescent="0.3">
      <c r="A87" s="5" t="s">
        <v>56</v>
      </c>
      <c r="B87" s="1"/>
      <c r="C87" s="3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6" outlineLevel="1" x14ac:dyDescent="0.3">
      <c r="A88" s="1" t="s">
        <v>28</v>
      </c>
      <c r="B88" s="1"/>
      <c r="C88" s="3"/>
      <c r="D88" s="1" t="s">
        <v>78</v>
      </c>
      <c r="E88" s="1">
        <f>E44</f>
        <v>44261</v>
      </c>
      <c r="F88" s="1">
        <f t="shared" ref="F88:H88" si="68">F44</f>
        <v>48688</v>
      </c>
      <c r="G88" s="1">
        <f>G44</f>
        <v>56924</v>
      </c>
      <c r="H88" s="1">
        <f t="shared" si="68"/>
        <v>69905</v>
      </c>
      <c r="I88" s="1">
        <f>((I26/365)*I15)</f>
        <v>73950.288326663052</v>
      </c>
      <c r="J88" s="1">
        <f t="shared" ref="J88:M88" si="69">((J26/365)*J15)</f>
        <v>83190.166785240217</v>
      </c>
      <c r="K88" s="1">
        <f t="shared" si="69"/>
        <v>93584.541809836766</v>
      </c>
      <c r="L88" s="1">
        <f t="shared" si="69"/>
        <v>105277.66446684132</v>
      </c>
      <c r="M88" s="1">
        <f t="shared" si="69"/>
        <v>118431.80958361905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6" outlineLevel="1" x14ac:dyDescent="0.3">
      <c r="A89" s="1" t="s">
        <v>29</v>
      </c>
      <c r="B89" s="1"/>
      <c r="C89" s="3"/>
      <c r="D89" s="1" t="s">
        <v>78</v>
      </c>
      <c r="E89" s="1">
        <f>E45</f>
        <v>3742</v>
      </c>
      <c r="F89" s="1">
        <f t="shared" ref="F89:H89" si="70">F45</f>
        <v>2500</v>
      </c>
      <c r="G89" s="1">
        <f t="shared" si="70"/>
        <v>1246</v>
      </c>
      <c r="H89" s="1">
        <f t="shared" si="70"/>
        <v>938</v>
      </c>
      <c r="I89" s="1">
        <f>((I27/365)*I16)</f>
        <v>3076.8063598296608</v>
      </c>
      <c r="J89" s="1">
        <f t="shared" ref="J89:M89" si="71">((J27/365)*J16)</f>
        <v>3461.2445743207459</v>
      </c>
      <c r="K89" s="1">
        <f t="shared" si="71"/>
        <v>3893.7172516531236</v>
      </c>
      <c r="L89" s="1">
        <f t="shared" si="71"/>
        <v>4380.2261615090993</v>
      </c>
      <c r="M89" s="1">
        <f t="shared" si="71"/>
        <v>4927.5229776437754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6" outlineLevel="1" x14ac:dyDescent="0.3">
      <c r="A90" s="1" t="s">
        <v>33</v>
      </c>
      <c r="B90" s="1"/>
      <c r="C90" s="3"/>
      <c r="D90" s="1" t="s">
        <v>78</v>
      </c>
      <c r="E90" s="1">
        <f>E50</f>
        <v>19000</v>
      </c>
      <c r="F90" s="1">
        <f t="shared" ref="F90:G90" si="72">F50</f>
        <v>18095</v>
      </c>
      <c r="G90" s="1">
        <f t="shared" si="72"/>
        <v>21996</v>
      </c>
      <c r="H90" s="1">
        <f>H50</f>
        <v>27724</v>
      </c>
      <c r="I90" s="1">
        <f>((I27/365)*I17)</f>
        <v>29260.580898758999</v>
      </c>
      <c r="J90" s="1">
        <f>((J27/365)*J17)</f>
        <v>32916.607362612784</v>
      </c>
      <c r="K90" s="1">
        <f t="shared" ref="K90:M90" si="73">((K27/365)*K17)</f>
        <v>37029.443947586406</v>
      </c>
      <c r="L90" s="1">
        <f>((L27/365)*L17)</f>
        <v>41656.167780670243</v>
      </c>
      <c r="M90" s="1">
        <f t="shared" si="73"/>
        <v>46860.987613735233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6" outlineLevel="1" x14ac:dyDescent="0.3">
      <c r="A91" s="6" t="s">
        <v>57</v>
      </c>
      <c r="B91" s="6"/>
      <c r="C91" s="25"/>
      <c r="D91" s="6" t="s">
        <v>78</v>
      </c>
      <c r="E91" s="6">
        <f>((E88+E89)-E90)</f>
        <v>29003</v>
      </c>
      <c r="F91" s="6">
        <f t="shared" ref="F91" si="74">((F88+F89)-F90)</f>
        <v>33093</v>
      </c>
      <c r="G91" s="6">
        <f>((G88+G89)-G90)</f>
        <v>36174</v>
      </c>
      <c r="H91" s="6">
        <f>((H88+H89)-H90)</f>
        <v>43119</v>
      </c>
      <c r="I91" s="6">
        <f>((I88+I89)-I90)</f>
        <v>47766.513787733711</v>
      </c>
      <c r="J91" s="6">
        <f t="shared" ref="J91:M91" si="75">((J88+J89)-J90)</f>
        <v>53734.803996948183</v>
      </c>
      <c r="K91" s="6">
        <f t="shared" si="75"/>
        <v>60448.815113903489</v>
      </c>
      <c r="L91" s="6">
        <f t="shared" si="75"/>
        <v>68001.722847680183</v>
      </c>
      <c r="M91" s="6">
        <f t="shared" si="75"/>
        <v>76498.344947527599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6" outlineLevel="1" x14ac:dyDescent="0.3">
      <c r="A92" s="1" t="s">
        <v>58</v>
      </c>
      <c r="B92" s="1"/>
      <c r="C92" s="3"/>
      <c r="D92" s="1" t="s">
        <v>78</v>
      </c>
      <c r="E92" s="1">
        <v>0</v>
      </c>
      <c r="F92" s="1">
        <f>(F91-E91)</f>
        <v>4090</v>
      </c>
      <c r="G92" s="1">
        <f t="shared" ref="G92:M92" si="76">(G91-F91)</f>
        <v>3081</v>
      </c>
      <c r="H92" s="1">
        <f t="shared" si="76"/>
        <v>6945</v>
      </c>
      <c r="I92" s="1">
        <f t="shared" si="76"/>
        <v>4647.5137877337111</v>
      </c>
      <c r="J92" s="1">
        <f>(J91-I91)</f>
        <v>5968.2902092144723</v>
      </c>
      <c r="K92" s="1">
        <f t="shared" si="76"/>
        <v>6714.0111169553056</v>
      </c>
      <c r="L92" s="1">
        <f t="shared" si="76"/>
        <v>7552.9077337766939</v>
      </c>
      <c r="M92" s="1">
        <f t="shared" si="76"/>
        <v>8496.6220998474164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6" outlineLevel="1" x14ac:dyDescent="0.3">
      <c r="A93" s="1"/>
      <c r="B93" s="1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6" outlineLevel="1" x14ac:dyDescent="0.3">
      <c r="A94" s="5" t="s">
        <v>59</v>
      </c>
      <c r="B94" s="1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6" outlineLevel="1" x14ac:dyDescent="0.3">
      <c r="A95" s="1" t="s">
        <v>60</v>
      </c>
      <c r="B95" s="1"/>
      <c r="C95" s="3"/>
      <c r="D95" s="4" t="s">
        <v>78</v>
      </c>
      <c r="E95" s="4">
        <v>70803</v>
      </c>
      <c r="F95" s="4">
        <f>E98</f>
        <v>87546</v>
      </c>
      <c r="G95" s="4">
        <f>F98</f>
        <v>109987</v>
      </c>
      <c r="H95" s="4">
        <f t="shared" ref="H95" si="77">G98</f>
        <v>154552</v>
      </c>
      <c r="I95" s="1">
        <f>H98</f>
        <v>229789</v>
      </c>
      <c r="J95" s="1">
        <f>I98</f>
        <v>236493.57146400027</v>
      </c>
      <c r="K95" s="1">
        <f t="shared" ref="K95:M95" si="78">J98</f>
        <v>242219.23217983457</v>
      </c>
      <c r="L95" s="1">
        <f t="shared" si="78"/>
        <v>247108.90944092054</v>
      </c>
      <c r="M95" s="1">
        <f t="shared" si="78"/>
        <v>251284.66223246499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6" outlineLevel="1" x14ac:dyDescent="0.3">
      <c r="A96" s="1" t="s">
        <v>61</v>
      </c>
      <c r="B96" s="1"/>
      <c r="C96" s="3"/>
      <c r="D96" s="4" t="s">
        <v>78</v>
      </c>
      <c r="E96" s="4">
        <f>E71*-1</f>
        <v>23886</v>
      </c>
      <c r="F96" s="4">
        <f t="shared" ref="F96:M96" si="79">F71*-1</f>
        <v>28107</v>
      </c>
      <c r="G96" s="4">
        <f>G71*-1</f>
        <v>44477</v>
      </c>
      <c r="H96" s="4">
        <f t="shared" si="79"/>
        <v>64551</v>
      </c>
      <c r="I96" s="4">
        <f>I71*-1</f>
        <v>40255.25</v>
      </c>
      <c r="J96" s="4">
        <f>J71*-1</f>
        <v>40255.25</v>
      </c>
      <c r="K96" s="4">
        <f>K71*-1</f>
        <v>40255.25</v>
      </c>
      <c r="L96" s="4">
        <f t="shared" si="79"/>
        <v>40255.25</v>
      </c>
      <c r="M96" s="4">
        <f t="shared" si="79"/>
        <v>40255.25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6" outlineLevel="1" x14ac:dyDescent="0.3">
      <c r="A97" s="1" t="s">
        <v>62</v>
      </c>
      <c r="B97" s="1"/>
      <c r="D97" s="4" t="s">
        <v>78</v>
      </c>
      <c r="E97" s="4">
        <f>E66</f>
        <v>14460</v>
      </c>
      <c r="F97" s="4">
        <f t="shared" ref="F97:H97" si="80">F66</f>
        <v>13861</v>
      </c>
      <c r="G97" s="4">
        <f t="shared" si="80"/>
        <v>22287</v>
      </c>
      <c r="H97" s="4">
        <f t="shared" si="80"/>
        <v>34153</v>
      </c>
      <c r="I97" s="1">
        <f>I95*I12</f>
        <v>33550.678535999738</v>
      </c>
      <c r="J97" s="1">
        <f t="shared" ref="J97:M97" si="81">J95*J12</f>
        <v>34529.589284165711</v>
      </c>
      <c r="K97" s="1">
        <f t="shared" si="81"/>
        <v>35365.572738914016</v>
      </c>
      <c r="L97" s="1">
        <f t="shared" si="81"/>
        <v>36079.49720845557</v>
      </c>
      <c r="M97" s="1">
        <f t="shared" si="81"/>
        <v>36689.184093184216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6" outlineLevel="1" x14ac:dyDescent="0.3">
      <c r="A98" s="6" t="s">
        <v>63</v>
      </c>
      <c r="B98" s="6"/>
      <c r="C98" s="25"/>
      <c r="D98" s="4" t="s">
        <v>78</v>
      </c>
      <c r="E98" s="4">
        <f>E46</f>
        <v>87546</v>
      </c>
      <c r="F98" s="4">
        <f t="shared" ref="F98:H98" si="82">F46</f>
        <v>109987</v>
      </c>
      <c r="G98" s="4">
        <f t="shared" si="82"/>
        <v>154552</v>
      </c>
      <c r="H98" s="4">
        <f t="shared" si="82"/>
        <v>229789</v>
      </c>
      <c r="I98" s="4">
        <f>((I95+I96)-I97)</f>
        <v>236493.57146400027</v>
      </c>
      <c r="J98" s="4">
        <f t="shared" ref="J98:M98" si="83">((J95+J96)-J97)</f>
        <v>242219.23217983457</v>
      </c>
      <c r="K98" s="4">
        <f t="shared" si="83"/>
        <v>247108.90944092054</v>
      </c>
      <c r="L98" s="4">
        <f>((L95+L96)-L97)</f>
        <v>251284.66223246499</v>
      </c>
      <c r="M98" s="4">
        <f t="shared" si="83"/>
        <v>254850.72813928078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6" outlineLevel="1" x14ac:dyDescent="0.3">
      <c r="A99" s="1"/>
      <c r="B99" s="1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6" outlineLevel="1" x14ac:dyDescent="0.3">
      <c r="A100" s="5" t="s">
        <v>64</v>
      </c>
      <c r="B100" s="1"/>
      <c r="C100" s="3"/>
      <c r="D100" s="4" t="s">
        <v>78</v>
      </c>
      <c r="E100" s="4"/>
      <c r="F100" s="4"/>
      <c r="G100" s="4"/>
      <c r="H100" s="4"/>
      <c r="I100" s="4"/>
      <c r="J100" s="4"/>
      <c r="K100" s="4"/>
      <c r="L100" s="4"/>
      <c r="M100" s="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6" outlineLevel="1" x14ac:dyDescent="0.3">
      <c r="A101" s="1" t="s">
        <v>65</v>
      </c>
      <c r="B101" s="1"/>
      <c r="C101" s="3"/>
      <c r="D101" s="4" t="s">
        <v>78</v>
      </c>
      <c r="E101" s="4">
        <v>58146</v>
      </c>
      <c r="F101" s="4">
        <f>E103</f>
        <v>61270</v>
      </c>
      <c r="G101" s="4">
        <f t="shared" ref="G101:H101" si="84">F103</f>
        <v>59965</v>
      </c>
      <c r="H101" s="4">
        <f t="shared" si="84"/>
        <v>67127</v>
      </c>
      <c r="I101" s="1">
        <f>H103</f>
        <v>60588</v>
      </c>
      <c r="J101" s="1">
        <f>I103</f>
        <v>55672</v>
      </c>
      <c r="K101" s="1">
        <f t="shared" ref="K101:M101" si="85">J103</f>
        <v>50756</v>
      </c>
      <c r="L101" s="1">
        <f t="shared" si="85"/>
        <v>45840</v>
      </c>
      <c r="M101" s="1">
        <f t="shared" si="85"/>
        <v>40924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6" outlineLevel="1" x14ac:dyDescent="0.3">
      <c r="A102" s="1" t="s">
        <v>66</v>
      </c>
      <c r="B102" s="1"/>
      <c r="C102" s="3"/>
      <c r="D102" s="1" t="s">
        <v>78</v>
      </c>
      <c r="E102" s="1">
        <f>E75</f>
        <v>-9023</v>
      </c>
      <c r="F102" s="1">
        <f t="shared" ref="F102:G102" si="86">F75</f>
        <v>-2750</v>
      </c>
      <c r="G102" s="1">
        <f t="shared" si="86"/>
        <v>-4675</v>
      </c>
      <c r="H102" s="1">
        <f>H75</f>
        <v>-3216</v>
      </c>
      <c r="I102" s="1">
        <f>I19</f>
        <v>-4916</v>
      </c>
      <c r="J102" s="1">
        <f t="shared" ref="J102:M102" si="87">J19</f>
        <v>-4916</v>
      </c>
      <c r="K102" s="1">
        <f t="shared" si="87"/>
        <v>-4916</v>
      </c>
      <c r="L102" s="1">
        <f t="shared" si="87"/>
        <v>-4916</v>
      </c>
      <c r="M102" s="1">
        <f t="shared" si="87"/>
        <v>-4916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6" outlineLevel="1" x14ac:dyDescent="0.3">
      <c r="A103" s="6" t="s">
        <v>67</v>
      </c>
      <c r="B103" s="6"/>
      <c r="C103" s="25"/>
      <c r="D103" s="6" t="s">
        <v>78</v>
      </c>
      <c r="E103" s="6">
        <f>E51</f>
        <v>61270</v>
      </c>
      <c r="F103" s="6">
        <f t="shared" ref="F103:H103" si="88">F51</f>
        <v>59965</v>
      </c>
      <c r="G103" s="6">
        <f t="shared" si="88"/>
        <v>67127</v>
      </c>
      <c r="H103" s="6">
        <f t="shared" si="88"/>
        <v>60588</v>
      </c>
      <c r="I103" s="6">
        <f>SUM(I101:I102)</f>
        <v>55672</v>
      </c>
      <c r="J103" s="6">
        <f t="shared" ref="J103:M103" si="89">SUM(J101:J102)</f>
        <v>50756</v>
      </c>
      <c r="K103" s="6">
        <f t="shared" si="89"/>
        <v>45840</v>
      </c>
      <c r="L103" s="6">
        <f t="shared" si="89"/>
        <v>40924</v>
      </c>
      <c r="M103" s="6">
        <f t="shared" si="89"/>
        <v>36008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6" outlineLevel="1" x14ac:dyDescent="0.3">
      <c r="A104" s="1" t="s">
        <v>68</v>
      </c>
      <c r="B104" s="1"/>
      <c r="D104" s="1" t="s">
        <v>78</v>
      </c>
      <c r="E104" s="1" t="s">
        <v>78</v>
      </c>
      <c r="F104" s="1" t="s">
        <v>78</v>
      </c>
      <c r="G104" s="1" t="s">
        <v>78</v>
      </c>
      <c r="H104" s="1" t="s">
        <v>78</v>
      </c>
      <c r="I104" s="1" t="s">
        <v>78</v>
      </c>
      <c r="J104" s="1" t="s">
        <v>78</v>
      </c>
      <c r="K104" s="1" t="s">
        <v>78</v>
      </c>
      <c r="L104" s="1" t="s">
        <v>78</v>
      </c>
      <c r="M104" s="1" t="s">
        <v>78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6" outlineLevel="1" x14ac:dyDescent="0.3">
      <c r="A105" s="1"/>
      <c r="B105" s="1"/>
      <c r="C105" s="3"/>
      <c r="D105" s="4"/>
      <c r="E105" s="4" t="s">
        <v>71</v>
      </c>
      <c r="F105" s="4"/>
      <c r="G105" s="4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6" outlineLevel="1" x14ac:dyDescent="0.3">
      <c r="A106" s="1"/>
      <c r="B106" s="1"/>
      <c r="C106" s="3"/>
      <c r="D106" s="4"/>
      <c r="E106" s="15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6" x14ac:dyDescent="0.3">
      <c r="A107" s="1"/>
      <c r="B107" s="1"/>
      <c r="C107" s="3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x14ac:dyDescent="0.3">
      <c r="A108" s="72" t="s">
        <v>69</v>
      </c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6" outlineLevel="1" x14ac:dyDescent="0.3">
      <c r="A109" s="1"/>
      <c r="B109" s="1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6" outlineLevel="1" x14ac:dyDescent="0.3">
      <c r="A110" s="1" t="s">
        <v>17</v>
      </c>
      <c r="B110" s="1"/>
      <c r="C110" s="3"/>
      <c r="D110" s="1" t="s">
        <v>78</v>
      </c>
      <c r="E110" s="1">
        <f>E26</f>
        <v>198270</v>
      </c>
      <c r="F110" s="1">
        <f>F26</f>
        <v>211915</v>
      </c>
      <c r="G110" s="1">
        <f t="shared" ref="G110:M110" si="90">G26</f>
        <v>245122</v>
      </c>
      <c r="H110" s="1">
        <f t="shared" si="90"/>
        <v>281724</v>
      </c>
      <c r="I110" s="1">
        <f t="shared" si="90"/>
        <v>316924.61351708934</v>
      </c>
      <c r="J110" s="1">
        <f t="shared" si="90"/>
        <v>356523.44370006263</v>
      </c>
      <c r="K110" s="1">
        <f t="shared" si="90"/>
        <v>401070.03522747121</v>
      </c>
      <c r="L110" s="1">
        <f t="shared" si="90"/>
        <v>451182.59682438028</v>
      </c>
      <c r="M110" s="1">
        <f t="shared" si="90"/>
        <v>507556.58063992934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6" outlineLevel="1" x14ac:dyDescent="0.3">
      <c r="A111" s="1" t="s">
        <v>70</v>
      </c>
      <c r="B111" s="1"/>
      <c r="C111" s="3"/>
      <c r="D111" s="26" t="s">
        <v>78</v>
      </c>
      <c r="E111" s="26">
        <f>E28/E26</f>
        <v>0.68401674484289099</v>
      </c>
      <c r="F111" s="26">
        <f t="shared" ref="F111:M111" si="91">F28/F26</f>
        <v>0.68920085883491022</v>
      </c>
      <c r="G111" s="26">
        <f t="shared" si="91"/>
        <v>0.69764443827971379</v>
      </c>
      <c r="H111" s="26">
        <f t="shared" si="91"/>
        <v>0.68823742386165188</v>
      </c>
      <c r="I111" s="26">
        <f t="shared" si="91"/>
        <v>0.68977486645479169</v>
      </c>
      <c r="J111" s="26">
        <f t="shared" si="91"/>
        <v>0.68977486645479169</v>
      </c>
      <c r="K111" s="26">
        <f t="shared" si="91"/>
        <v>0.68977486645479169</v>
      </c>
      <c r="L111" s="26">
        <f>L28/L26</f>
        <v>0.68977486645479158</v>
      </c>
      <c r="M111" s="26">
        <f t="shared" si="91"/>
        <v>0.68977486645479169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6" outlineLevel="1" x14ac:dyDescent="0.3">
      <c r="A112" s="1"/>
      <c r="B112" s="1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6" outlineLevel="1" x14ac:dyDescent="0.3">
      <c r="A113" s="1" t="s">
        <v>41</v>
      </c>
      <c r="B113" s="1"/>
      <c r="C113" s="3"/>
      <c r="D113" s="1" t="s">
        <v>78</v>
      </c>
      <c r="E113" s="1">
        <f>E68</f>
        <v>86752</v>
      </c>
      <c r="F113" s="1">
        <f t="shared" ref="F113:M113" si="92">F68</f>
        <v>88880</v>
      </c>
      <c r="G113" s="1">
        <f t="shared" si="92"/>
        <v>108599</v>
      </c>
      <c r="H113" s="1">
        <f t="shared" si="92"/>
        <v>141335</v>
      </c>
      <c r="I113" s="1">
        <f t="shared" si="92"/>
        <v>145396.82654568669</v>
      </c>
      <c r="J113" s="1">
        <f t="shared" si="92"/>
        <v>159610.51299473821</v>
      </c>
      <c r="K113" s="1">
        <f t="shared" si="92"/>
        <v>176075.00255438493</v>
      </c>
      <c r="L113" s="1">
        <f t="shared" si="92"/>
        <v>194370.17057131467</v>
      </c>
      <c r="M113" s="1">
        <f t="shared" si="92"/>
        <v>214757.82744229172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6" outlineLevel="1" x14ac:dyDescent="0.3">
      <c r="A114" s="1" t="s">
        <v>45</v>
      </c>
      <c r="B114" s="1"/>
      <c r="C114" s="3"/>
      <c r="D114" s="1" t="s">
        <v>78</v>
      </c>
      <c r="E114" s="1">
        <f>E72</f>
        <v>-23886</v>
      </c>
      <c r="F114" s="1">
        <f t="shared" ref="F114:M114" si="93">F72</f>
        <v>-28107</v>
      </c>
      <c r="G114" s="1">
        <f t="shared" si="93"/>
        <v>-44477</v>
      </c>
      <c r="H114" s="1">
        <f t="shared" si="93"/>
        <v>-64551</v>
      </c>
      <c r="I114" s="1">
        <f t="shared" si="93"/>
        <v>-40255.25</v>
      </c>
      <c r="J114" s="1">
        <f t="shared" si="93"/>
        <v>-40255.25</v>
      </c>
      <c r="K114" s="1">
        <f t="shared" si="93"/>
        <v>-40255.25</v>
      </c>
      <c r="L114" s="1">
        <f t="shared" si="93"/>
        <v>-40255.25</v>
      </c>
      <c r="M114" s="1">
        <f t="shared" si="93"/>
        <v>-40255.25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6" outlineLevel="1" x14ac:dyDescent="0.3">
      <c r="A115" s="1" t="s">
        <v>48</v>
      </c>
      <c r="B115" s="1"/>
      <c r="C115" s="3"/>
      <c r="D115" s="1" t="s">
        <v>78</v>
      </c>
      <c r="E115" s="1">
        <f>E77</f>
        <v>-39878</v>
      </c>
      <c r="F115" s="1">
        <f t="shared" ref="F115:M115" si="94">F77</f>
        <v>-23129</v>
      </c>
      <c r="G115" s="1">
        <f t="shared" si="94"/>
        <v>-19927</v>
      </c>
      <c r="H115" s="1">
        <f t="shared" si="94"/>
        <v>-19580</v>
      </c>
      <c r="I115" s="1">
        <f t="shared" si="94"/>
        <v>-25628.5</v>
      </c>
      <c r="J115" s="1">
        <f t="shared" si="94"/>
        <v>-25628.5</v>
      </c>
      <c r="K115" s="1">
        <f t="shared" si="94"/>
        <v>-25628.5</v>
      </c>
      <c r="L115" s="1">
        <f t="shared" si="94"/>
        <v>-25628.5</v>
      </c>
      <c r="M115" s="1">
        <f t="shared" si="94"/>
        <v>-25628.5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6" outlineLevel="1" x14ac:dyDescent="0.3">
      <c r="A116" s="1"/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6" outlineLevel="1" x14ac:dyDescent="0.3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6" outlineLevel="1" x14ac:dyDescent="0.3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6" outlineLevel="1" x14ac:dyDescent="0.3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6" outlineLevel="1" x14ac:dyDescent="0.3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6" outlineLevel="1" x14ac:dyDescent="0.3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6" outlineLevel="1" x14ac:dyDescent="0.3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6" outlineLevel="1" x14ac:dyDescent="0.3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6" outlineLevel="1" x14ac:dyDescent="0.3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6" outlineLevel="1" x14ac:dyDescent="0.3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6" outlineLevel="1" x14ac:dyDescent="0.3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6" outlineLevel="1" x14ac:dyDescent="0.3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6" outlineLevel="1" x14ac:dyDescent="0.3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6" outlineLevel="1" x14ac:dyDescent="0.3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6" outlineLevel="1" x14ac:dyDescent="0.3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6" outlineLevel="1" x14ac:dyDescent="0.3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6" outlineLevel="1" x14ac:dyDescent="0.3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6" x14ac:dyDescent="0.3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6" x14ac:dyDescent="0.3">
      <c r="A134" s="5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6" x14ac:dyDescent="0.3">
      <c r="A135" s="73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6" x14ac:dyDescent="0.3"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6" x14ac:dyDescent="0.3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6" x14ac:dyDescent="0.3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6" x14ac:dyDescent="0.3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6" x14ac:dyDescent="0.3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6" x14ac:dyDescent="0.3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6" x14ac:dyDescent="0.3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6" x14ac:dyDescent="0.3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6" x14ac:dyDescent="0.3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6" x14ac:dyDescent="0.3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6" x14ac:dyDescent="0.3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6" x14ac:dyDescent="0.3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6" x14ac:dyDescent="0.3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6" x14ac:dyDescent="0.3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6" x14ac:dyDescent="0.3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6" x14ac:dyDescent="0.3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6" x14ac:dyDescent="0.3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6" x14ac:dyDescent="0.3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6" x14ac:dyDescent="0.3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6" x14ac:dyDescent="0.3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6" x14ac:dyDescent="0.3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6" x14ac:dyDescent="0.3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6" x14ac:dyDescent="0.3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6" x14ac:dyDescent="0.3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6" x14ac:dyDescent="0.3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6" x14ac:dyDescent="0.3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6" x14ac:dyDescent="0.3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6" x14ac:dyDescent="0.3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6" x14ac:dyDescent="0.3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6" x14ac:dyDescent="0.3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6" x14ac:dyDescent="0.3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6" x14ac:dyDescent="0.3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6" x14ac:dyDescent="0.3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6" x14ac:dyDescent="0.3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6" x14ac:dyDescent="0.3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6" x14ac:dyDescent="0.3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6" x14ac:dyDescent="0.3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6" x14ac:dyDescent="0.3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6" x14ac:dyDescent="0.3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6" x14ac:dyDescent="0.3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6" x14ac:dyDescent="0.3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6" x14ac:dyDescent="0.3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6" x14ac:dyDescent="0.3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6" x14ac:dyDescent="0.3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6" x14ac:dyDescent="0.3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6" x14ac:dyDescent="0.3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6" x14ac:dyDescent="0.3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6" x14ac:dyDescent="0.3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6" x14ac:dyDescent="0.3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6" x14ac:dyDescent="0.3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6" x14ac:dyDescent="0.3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6" x14ac:dyDescent="0.3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6" x14ac:dyDescent="0.3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6" x14ac:dyDescent="0.3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6" x14ac:dyDescent="0.3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6" x14ac:dyDescent="0.3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6" x14ac:dyDescent="0.3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6" x14ac:dyDescent="0.3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6" x14ac:dyDescent="0.3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6" x14ac:dyDescent="0.3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6" x14ac:dyDescent="0.3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6" x14ac:dyDescent="0.3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6" x14ac:dyDescent="0.3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6" x14ac:dyDescent="0.3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6" x14ac:dyDescent="0.3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6" x14ac:dyDescent="0.3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6" x14ac:dyDescent="0.3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6" x14ac:dyDescent="0.3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6" x14ac:dyDescent="0.3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6" x14ac:dyDescent="0.3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6" x14ac:dyDescent="0.3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6" x14ac:dyDescent="0.3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6" x14ac:dyDescent="0.3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6" x14ac:dyDescent="0.3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6" x14ac:dyDescent="0.3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6" x14ac:dyDescent="0.3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6" x14ac:dyDescent="0.3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6" x14ac:dyDescent="0.3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6" x14ac:dyDescent="0.3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6" x14ac:dyDescent="0.3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6" x14ac:dyDescent="0.3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6" x14ac:dyDescent="0.3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6" x14ac:dyDescent="0.3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6" x14ac:dyDescent="0.3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6" x14ac:dyDescent="0.3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6" x14ac:dyDescent="0.3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6" x14ac:dyDescent="0.3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6" x14ac:dyDescent="0.3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6" x14ac:dyDescent="0.3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6" x14ac:dyDescent="0.3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6" x14ac:dyDescent="0.3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6" x14ac:dyDescent="0.3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6" x14ac:dyDescent="0.3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6" x14ac:dyDescent="0.3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6" x14ac:dyDescent="0.3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6" x14ac:dyDescent="0.3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6" x14ac:dyDescent="0.3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6" x14ac:dyDescent="0.3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6" x14ac:dyDescent="0.3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6" x14ac:dyDescent="0.3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6" x14ac:dyDescent="0.3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6" x14ac:dyDescent="0.3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6" x14ac:dyDescent="0.3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6" x14ac:dyDescent="0.3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6" x14ac:dyDescent="0.3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6" x14ac:dyDescent="0.3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6" x14ac:dyDescent="0.3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6" x14ac:dyDescent="0.3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6" x14ac:dyDescent="0.3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6" x14ac:dyDescent="0.3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6" x14ac:dyDescent="0.3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6" x14ac:dyDescent="0.3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6" x14ac:dyDescent="0.3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6" x14ac:dyDescent="0.3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6" x14ac:dyDescent="0.3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 x14ac:dyDescent="0.3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6" x14ac:dyDescent="0.3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6" x14ac:dyDescent="0.3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6" x14ac:dyDescent="0.3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6" x14ac:dyDescent="0.3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6" x14ac:dyDescent="0.3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6" x14ac:dyDescent="0.3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6" x14ac:dyDescent="0.3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6" x14ac:dyDescent="0.3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6" x14ac:dyDescent="0.3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6" x14ac:dyDescent="0.3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6" x14ac:dyDescent="0.3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6" x14ac:dyDescent="0.3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6" x14ac:dyDescent="0.3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6" x14ac:dyDescent="0.3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x14ac:dyDescent="0.3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6" x14ac:dyDescent="0.3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6" x14ac:dyDescent="0.3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6" x14ac:dyDescent="0.3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6" x14ac:dyDescent="0.3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6" x14ac:dyDescent="0.3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6" x14ac:dyDescent="0.3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6" x14ac:dyDescent="0.3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6" x14ac:dyDescent="0.3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6" x14ac:dyDescent="0.3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6" x14ac:dyDescent="0.3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6" x14ac:dyDescent="0.3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6" x14ac:dyDescent="0.3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6" x14ac:dyDescent="0.3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6" x14ac:dyDescent="0.3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6" x14ac:dyDescent="0.3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6" x14ac:dyDescent="0.3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6" x14ac:dyDescent="0.3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6" x14ac:dyDescent="0.3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6" x14ac:dyDescent="0.3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6" x14ac:dyDescent="0.3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x14ac:dyDescent="0.3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6" x14ac:dyDescent="0.3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6" x14ac:dyDescent="0.3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6" x14ac:dyDescent="0.3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6" x14ac:dyDescent="0.3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6" x14ac:dyDescent="0.3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6" x14ac:dyDescent="0.3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6" x14ac:dyDescent="0.3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6" x14ac:dyDescent="0.3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6" x14ac:dyDescent="0.3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6" x14ac:dyDescent="0.3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6" x14ac:dyDescent="0.3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6" x14ac:dyDescent="0.3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6" x14ac:dyDescent="0.3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6" x14ac:dyDescent="0.3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6" x14ac:dyDescent="0.3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6" x14ac:dyDescent="0.3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6" x14ac:dyDescent="0.3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6" x14ac:dyDescent="0.3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6" x14ac:dyDescent="0.3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6" x14ac:dyDescent="0.3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6" x14ac:dyDescent="0.3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6" x14ac:dyDescent="0.3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6" x14ac:dyDescent="0.3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6" x14ac:dyDescent="0.3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6" x14ac:dyDescent="0.3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6" x14ac:dyDescent="0.3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6" x14ac:dyDescent="0.3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6" x14ac:dyDescent="0.3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6" x14ac:dyDescent="0.3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6" x14ac:dyDescent="0.3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6" x14ac:dyDescent="0.3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6" x14ac:dyDescent="0.3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6" x14ac:dyDescent="0.3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6" x14ac:dyDescent="0.3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6" x14ac:dyDescent="0.3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6" x14ac:dyDescent="0.3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6" x14ac:dyDescent="0.3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6" x14ac:dyDescent="0.3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6" x14ac:dyDescent="0.3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6" x14ac:dyDescent="0.3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6" x14ac:dyDescent="0.3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6" x14ac:dyDescent="0.3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6" x14ac:dyDescent="0.3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6" x14ac:dyDescent="0.3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6" x14ac:dyDescent="0.3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6" x14ac:dyDescent="0.3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6" x14ac:dyDescent="0.3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6" x14ac:dyDescent="0.3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6" x14ac:dyDescent="0.3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6" x14ac:dyDescent="0.3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6" x14ac:dyDescent="0.3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6" x14ac:dyDescent="0.3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6" x14ac:dyDescent="0.3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6" x14ac:dyDescent="0.3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6" x14ac:dyDescent="0.3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6" x14ac:dyDescent="0.3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6" x14ac:dyDescent="0.3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6" x14ac:dyDescent="0.3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6" x14ac:dyDescent="0.3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6" x14ac:dyDescent="0.3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6" x14ac:dyDescent="0.3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6" x14ac:dyDescent="0.3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6" x14ac:dyDescent="0.3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6" x14ac:dyDescent="0.3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6" x14ac:dyDescent="0.3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6" x14ac:dyDescent="0.3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6" x14ac:dyDescent="0.3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6" x14ac:dyDescent="0.3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6" x14ac:dyDescent="0.3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6" x14ac:dyDescent="0.3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6" x14ac:dyDescent="0.3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6" x14ac:dyDescent="0.3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6" x14ac:dyDescent="0.3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6" x14ac:dyDescent="0.3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6" x14ac:dyDescent="0.3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6" x14ac:dyDescent="0.3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6" x14ac:dyDescent="0.3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6" x14ac:dyDescent="0.3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6" x14ac:dyDescent="0.3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6" x14ac:dyDescent="0.3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6" x14ac:dyDescent="0.3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6" x14ac:dyDescent="0.3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6" x14ac:dyDescent="0.3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6" x14ac:dyDescent="0.3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6" x14ac:dyDescent="0.3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6" x14ac:dyDescent="0.3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6" x14ac:dyDescent="0.3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6" x14ac:dyDescent="0.3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6" x14ac:dyDescent="0.3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6" x14ac:dyDescent="0.3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6" x14ac:dyDescent="0.3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6" x14ac:dyDescent="0.3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6" x14ac:dyDescent="0.3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6" x14ac:dyDescent="0.3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6" x14ac:dyDescent="0.3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6" x14ac:dyDescent="0.3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6" x14ac:dyDescent="0.3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6" x14ac:dyDescent="0.3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6" x14ac:dyDescent="0.3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6" x14ac:dyDescent="0.3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6" x14ac:dyDescent="0.3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6" x14ac:dyDescent="0.3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6" x14ac:dyDescent="0.3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6" x14ac:dyDescent="0.3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6" x14ac:dyDescent="0.3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6" x14ac:dyDescent="0.3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6" x14ac:dyDescent="0.3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6" x14ac:dyDescent="0.3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6" x14ac:dyDescent="0.3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6" x14ac:dyDescent="0.3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6" x14ac:dyDescent="0.3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6" x14ac:dyDescent="0.3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6" x14ac:dyDescent="0.3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6" x14ac:dyDescent="0.3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6" x14ac:dyDescent="0.3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6" x14ac:dyDescent="0.3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6" x14ac:dyDescent="0.3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6" x14ac:dyDescent="0.3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6" x14ac:dyDescent="0.3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6" x14ac:dyDescent="0.3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6" x14ac:dyDescent="0.3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6" x14ac:dyDescent="0.3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6" x14ac:dyDescent="0.3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6" x14ac:dyDescent="0.3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6" x14ac:dyDescent="0.3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6" x14ac:dyDescent="0.3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6" x14ac:dyDescent="0.3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6" x14ac:dyDescent="0.3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6" x14ac:dyDescent="0.3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6" x14ac:dyDescent="0.3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6" x14ac:dyDescent="0.3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6" x14ac:dyDescent="0.3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6" x14ac:dyDescent="0.3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6" x14ac:dyDescent="0.3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6" x14ac:dyDescent="0.3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6" x14ac:dyDescent="0.3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6" x14ac:dyDescent="0.3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6" x14ac:dyDescent="0.3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6" x14ac:dyDescent="0.3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6" x14ac:dyDescent="0.3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6" x14ac:dyDescent="0.3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6" x14ac:dyDescent="0.3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6" x14ac:dyDescent="0.3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6" x14ac:dyDescent="0.3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6" x14ac:dyDescent="0.3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6" x14ac:dyDescent="0.3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6" x14ac:dyDescent="0.3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6" x14ac:dyDescent="0.3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6" x14ac:dyDescent="0.3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6" x14ac:dyDescent="0.3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6" x14ac:dyDescent="0.3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6" x14ac:dyDescent="0.3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6" x14ac:dyDescent="0.3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6" x14ac:dyDescent="0.3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6" x14ac:dyDescent="0.3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6" x14ac:dyDescent="0.3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6" x14ac:dyDescent="0.3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6" x14ac:dyDescent="0.3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6" x14ac:dyDescent="0.3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6" x14ac:dyDescent="0.3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6" x14ac:dyDescent="0.3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6" x14ac:dyDescent="0.3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6" x14ac:dyDescent="0.3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6" x14ac:dyDescent="0.3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6" x14ac:dyDescent="0.3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6" x14ac:dyDescent="0.3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6" x14ac:dyDescent="0.3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6" x14ac:dyDescent="0.3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6" x14ac:dyDescent="0.3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6" x14ac:dyDescent="0.3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6" x14ac:dyDescent="0.3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6" x14ac:dyDescent="0.3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6" x14ac:dyDescent="0.3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6" x14ac:dyDescent="0.3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6" x14ac:dyDescent="0.3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6" x14ac:dyDescent="0.3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6" x14ac:dyDescent="0.3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6" x14ac:dyDescent="0.3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6" x14ac:dyDescent="0.3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6" x14ac:dyDescent="0.3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6" x14ac:dyDescent="0.3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6" x14ac:dyDescent="0.3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6" x14ac:dyDescent="0.3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6" x14ac:dyDescent="0.3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6" x14ac:dyDescent="0.3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6" x14ac:dyDescent="0.3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6" x14ac:dyDescent="0.3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6" x14ac:dyDescent="0.3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6" x14ac:dyDescent="0.3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6" x14ac:dyDescent="0.3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6" x14ac:dyDescent="0.3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6" x14ac:dyDescent="0.3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6" x14ac:dyDescent="0.3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6" x14ac:dyDescent="0.3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6" x14ac:dyDescent="0.3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6" x14ac:dyDescent="0.3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6" x14ac:dyDescent="0.3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6" x14ac:dyDescent="0.3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6" x14ac:dyDescent="0.3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6" x14ac:dyDescent="0.3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6" x14ac:dyDescent="0.3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6" x14ac:dyDescent="0.3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6" x14ac:dyDescent="0.3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6" x14ac:dyDescent="0.3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6" x14ac:dyDescent="0.3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6" x14ac:dyDescent="0.3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6" x14ac:dyDescent="0.3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6" x14ac:dyDescent="0.3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6" x14ac:dyDescent="0.3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6" x14ac:dyDescent="0.3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6" x14ac:dyDescent="0.3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6" x14ac:dyDescent="0.3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6" x14ac:dyDescent="0.3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6" x14ac:dyDescent="0.3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6" x14ac:dyDescent="0.3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6" x14ac:dyDescent="0.3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6" x14ac:dyDescent="0.3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6" x14ac:dyDescent="0.3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6" x14ac:dyDescent="0.3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6" x14ac:dyDescent="0.3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6" x14ac:dyDescent="0.3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6" x14ac:dyDescent="0.3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6" x14ac:dyDescent="0.3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6" x14ac:dyDescent="0.3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6" x14ac:dyDescent="0.3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6" x14ac:dyDescent="0.3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6" x14ac:dyDescent="0.3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6" x14ac:dyDescent="0.3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6" x14ac:dyDescent="0.3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6" x14ac:dyDescent="0.3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6" x14ac:dyDescent="0.3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6" x14ac:dyDescent="0.3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6" x14ac:dyDescent="0.3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6" x14ac:dyDescent="0.3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6" x14ac:dyDescent="0.3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6" x14ac:dyDescent="0.3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6" x14ac:dyDescent="0.3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6" x14ac:dyDescent="0.3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6" x14ac:dyDescent="0.3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6" x14ac:dyDescent="0.3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6" x14ac:dyDescent="0.3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6" x14ac:dyDescent="0.3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6" x14ac:dyDescent="0.3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6" x14ac:dyDescent="0.3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6" x14ac:dyDescent="0.3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6" x14ac:dyDescent="0.3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6" x14ac:dyDescent="0.3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6" x14ac:dyDescent="0.3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6" x14ac:dyDescent="0.3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6" x14ac:dyDescent="0.3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6" x14ac:dyDescent="0.3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6" x14ac:dyDescent="0.3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6" x14ac:dyDescent="0.3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6" x14ac:dyDescent="0.3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6" x14ac:dyDescent="0.3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6" x14ac:dyDescent="0.3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6" x14ac:dyDescent="0.3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6" x14ac:dyDescent="0.3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6" x14ac:dyDescent="0.3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6" x14ac:dyDescent="0.3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6" x14ac:dyDescent="0.3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6" x14ac:dyDescent="0.3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6" x14ac:dyDescent="0.3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6" x14ac:dyDescent="0.3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6" x14ac:dyDescent="0.3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6" x14ac:dyDescent="0.3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6" x14ac:dyDescent="0.3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6" x14ac:dyDescent="0.3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6" x14ac:dyDescent="0.3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6" x14ac:dyDescent="0.3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6" x14ac:dyDescent="0.3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6" x14ac:dyDescent="0.3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6" x14ac:dyDescent="0.3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6" x14ac:dyDescent="0.3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6" x14ac:dyDescent="0.3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6" x14ac:dyDescent="0.3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6" x14ac:dyDescent="0.3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6" x14ac:dyDescent="0.3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6" x14ac:dyDescent="0.3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6" x14ac:dyDescent="0.3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6" x14ac:dyDescent="0.3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6" x14ac:dyDescent="0.3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6" x14ac:dyDescent="0.3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6" x14ac:dyDescent="0.3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6" x14ac:dyDescent="0.3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6" x14ac:dyDescent="0.3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6" x14ac:dyDescent="0.3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6" x14ac:dyDescent="0.3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6" x14ac:dyDescent="0.3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6" x14ac:dyDescent="0.3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6" x14ac:dyDescent="0.3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6" x14ac:dyDescent="0.3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6" x14ac:dyDescent="0.3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6" x14ac:dyDescent="0.3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6" x14ac:dyDescent="0.3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6" x14ac:dyDescent="0.3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6" x14ac:dyDescent="0.3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6" x14ac:dyDescent="0.3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6" x14ac:dyDescent="0.3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6" x14ac:dyDescent="0.3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6" x14ac:dyDescent="0.3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6" x14ac:dyDescent="0.3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6" x14ac:dyDescent="0.3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6" x14ac:dyDescent="0.3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6" x14ac:dyDescent="0.3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6" x14ac:dyDescent="0.3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6" x14ac:dyDescent="0.3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6" x14ac:dyDescent="0.3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6" x14ac:dyDescent="0.3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6" x14ac:dyDescent="0.3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6" x14ac:dyDescent="0.3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6" x14ac:dyDescent="0.3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6" x14ac:dyDescent="0.3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6" x14ac:dyDescent="0.3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6" x14ac:dyDescent="0.3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6" x14ac:dyDescent="0.3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6" x14ac:dyDescent="0.3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6" x14ac:dyDescent="0.3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6" x14ac:dyDescent="0.3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6" x14ac:dyDescent="0.3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6" x14ac:dyDescent="0.3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6" x14ac:dyDescent="0.3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6" x14ac:dyDescent="0.3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6" x14ac:dyDescent="0.3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6" x14ac:dyDescent="0.3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6" x14ac:dyDescent="0.3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6" x14ac:dyDescent="0.3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6" x14ac:dyDescent="0.3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6" x14ac:dyDescent="0.3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6" x14ac:dyDescent="0.3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6" x14ac:dyDescent="0.3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6" x14ac:dyDescent="0.3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6" x14ac:dyDescent="0.3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6" x14ac:dyDescent="0.3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6" x14ac:dyDescent="0.3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6" x14ac:dyDescent="0.3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6" x14ac:dyDescent="0.3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6" x14ac:dyDescent="0.3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6" x14ac:dyDescent="0.3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6" x14ac:dyDescent="0.3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6" x14ac:dyDescent="0.3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6" x14ac:dyDescent="0.3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6" x14ac:dyDescent="0.3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6" x14ac:dyDescent="0.3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6" x14ac:dyDescent="0.3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6" x14ac:dyDescent="0.3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6" x14ac:dyDescent="0.3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6" x14ac:dyDescent="0.3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6" x14ac:dyDescent="0.3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6" x14ac:dyDescent="0.3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6" x14ac:dyDescent="0.3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6" x14ac:dyDescent="0.3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6" x14ac:dyDescent="0.3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6" x14ac:dyDescent="0.3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6" x14ac:dyDescent="0.3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6" x14ac:dyDescent="0.3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6" x14ac:dyDescent="0.3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6" x14ac:dyDescent="0.3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6" x14ac:dyDescent="0.3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6" x14ac:dyDescent="0.3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6" x14ac:dyDescent="0.3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6" x14ac:dyDescent="0.3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6" x14ac:dyDescent="0.3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6" x14ac:dyDescent="0.3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6" x14ac:dyDescent="0.3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6" x14ac:dyDescent="0.3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6" x14ac:dyDescent="0.3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6" x14ac:dyDescent="0.3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6" x14ac:dyDescent="0.3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6" x14ac:dyDescent="0.3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6" x14ac:dyDescent="0.3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6" x14ac:dyDescent="0.3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6" x14ac:dyDescent="0.3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6" x14ac:dyDescent="0.3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6" x14ac:dyDescent="0.3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6" x14ac:dyDescent="0.3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6" x14ac:dyDescent="0.3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6" x14ac:dyDescent="0.3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6" x14ac:dyDescent="0.3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6" x14ac:dyDescent="0.3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6" x14ac:dyDescent="0.3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6" x14ac:dyDescent="0.3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6" x14ac:dyDescent="0.3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6" x14ac:dyDescent="0.3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6" x14ac:dyDescent="0.3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6" x14ac:dyDescent="0.3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6" x14ac:dyDescent="0.3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6" x14ac:dyDescent="0.3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6" x14ac:dyDescent="0.3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6" x14ac:dyDescent="0.3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6" x14ac:dyDescent="0.3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6" x14ac:dyDescent="0.3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6" x14ac:dyDescent="0.3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6" x14ac:dyDescent="0.3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6" x14ac:dyDescent="0.3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6" x14ac:dyDescent="0.3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6" x14ac:dyDescent="0.3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6" x14ac:dyDescent="0.3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6" x14ac:dyDescent="0.3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6" x14ac:dyDescent="0.3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6" x14ac:dyDescent="0.3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6" x14ac:dyDescent="0.3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6" x14ac:dyDescent="0.3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6" x14ac:dyDescent="0.3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6" x14ac:dyDescent="0.3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6" x14ac:dyDescent="0.3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6" x14ac:dyDescent="0.3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6" x14ac:dyDescent="0.3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6" x14ac:dyDescent="0.3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6" x14ac:dyDescent="0.3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6" x14ac:dyDescent="0.3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6" x14ac:dyDescent="0.3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6" x14ac:dyDescent="0.3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6" x14ac:dyDescent="0.3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6" x14ac:dyDescent="0.3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6" x14ac:dyDescent="0.3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6" x14ac:dyDescent="0.3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6" x14ac:dyDescent="0.3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6" x14ac:dyDescent="0.3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6" x14ac:dyDescent="0.3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6" x14ac:dyDescent="0.3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6" x14ac:dyDescent="0.3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6" x14ac:dyDescent="0.3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6" x14ac:dyDescent="0.3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6" x14ac:dyDescent="0.3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6" x14ac:dyDescent="0.3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6" x14ac:dyDescent="0.3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6" x14ac:dyDescent="0.3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6" x14ac:dyDescent="0.3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6" x14ac:dyDescent="0.3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6" x14ac:dyDescent="0.3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6" x14ac:dyDescent="0.3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6" x14ac:dyDescent="0.3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6" x14ac:dyDescent="0.3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6" x14ac:dyDescent="0.3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6" x14ac:dyDescent="0.3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6" x14ac:dyDescent="0.3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6" x14ac:dyDescent="0.3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6" x14ac:dyDescent="0.3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6" x14ac:dyDescent="0.3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6" x14ac:dyDescent="0.3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6" x14ac:dyDescent="0.3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6" x14ac:dyDescent="0.3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6" x14ac:dyDescent="0.3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6" x14ac:dyDescent="0.3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6" x14ac:dyDescent="0.3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6" x14ac:dyDescent="0.3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6" x14ac:dyDescent="0.3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6" x14ac:dyDescent="0.3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6" x14ac:dyDescent="0.3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6" x14ac:dyDescent="0.3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6" x14ac:dyDescent="0.3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6" x14ac:dyDescent="0.3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6" x14ac:dyDescent="0.3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6" x14ac:dyDescent="0.3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6" x14ac:dyDescent="0.3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6" x14ac:dyDescent="0.3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6" x14ac:dyDescent="0.3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6" x14ac:dyDescent="0.3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6" x14ac:dyDescent="0.3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6" x14ac:dyDescent="0.3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6" x14ac:dyDescent="0.3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6" x14ac:dyDescent="0.3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6" x14ac:dyDescent="0.3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6" x14ac:dyDescent="0.3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6" x14ac:dyDescent="0.3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6" x14ac:dyDescent="0.3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6" x14ac:dyDescent="0.3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6" x14ac:dyDescent="0.3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6" x14ac:dyDescent="0.3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6" x14ac:dyDescent="0.3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6" x14ac:dyDescent="0.3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6" x14ac:dyDescent="0.3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6" x14ac:dyDescent="0.3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6" x14ac:dyDescent="0.3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6" x14ac:dyDescent="0.3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6" x14ac:dyDescent="0.3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6" x14ac:dyDescent="0.3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6" x14ac:dyDescent="0.3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6" x14ac:dyDescent="0.3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6" x14ac:dyDescent="0.3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6" x14ac:dyDescent="0.3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6" x14ac:dyDescent="0.3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6" x14ac:dyDescent="0.3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6" x14ac:dyDescent="0.3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6" x14ac:dyDescent="0.3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6" x14ac:dyDescent="0.3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6" x14ac:dyDescent="0.3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6" x14ac:dyDescent="0.3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6" x14ac:dyDescent="0.3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6" x14ac:dyDescent="0.3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6" x14ac:dyDescent="0.3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6" x14ac:dyDescent="0.3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6" x14ac:dyDescent="0.3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6" x14ac:dyDescent="0.3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6" x14ac:dyDescent="0.3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6" x14ac:dyDescent="0.3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6" x14ac:dyDescent="0.3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6" x14ac:dyDescent="0.3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6" x14ac:dyDescent="0.3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6" x14ac:dyDescent="0.3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6" x14ac:dyDescent="0.3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6" x14ac:dyDescent="0.3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6" x14ac:dyDescent="0.3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6" x14ac:dyDescent="0.3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6" x14ac:dyDescent="0.3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6" x14ac:dyDescent="0.3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6" x14ac:dyDescent="0.3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6" x14ac:dyDescent="0.3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6" x14ac:dyDescent="0.3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6" x14ac:dyDescent="0.3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6" x14ac:dyDescent="0.3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6" x14ac:dyDescent="0.3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6" x14ac:dyDescent="0.3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6" x14ac:dyDescent="0.3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6" x14ac:dyDescent="0.3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6" x14ac:dyDescent="0.3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6" x14ac:dyDescent="0.3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6" x14ac:dyDescent="0.3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6" x14ac:dyDescent="0.3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6" x14ac:dyDescent="0.3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6" x14ac:dyDescent="0.3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6" x14ac:dyDescent="0.3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6" x14ac:dyDescent="0.3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6" x14ac:dyDescent="0.3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6" x14ac:dyDescent="0.3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6" x14ac:dyDescent="0.3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6" x14ac:dyDescent="0.3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6" x14ac:dyDescent="0.3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6" x14ac:dyDescent="0.3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6" x14ac:dyDescent="0.3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6" x14ac:dyDescent="0.3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6" x14ac:dyDescent="0.3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6" x14ac:dyDescent="0.3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6" x14ac:dyDescent="0.3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6" x14ac:dyDescent="0.3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6" x14ac:dyDescent="0.3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6" x14ac:dyDescent="0.3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6" x14ac:dyDescent="0.3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6" x14ac:dyDescent="0.3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6" x14ac:dyDescent="0.3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6" x14ac:dyDescent="0.3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6" x14ac:dyDescent="0.3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6" x14ac:dyDescent="0.3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6" x14ac:dyDescent="0.3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6" x14ac:dyDescent="0.3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6" x14ac:dyDescent="0.3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6" x14ac:dyDescent="0.3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6" x14ac:dyDescent="0.3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6" x14ac:dyDescent="0.3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6" x14ac:dyDescent="0.3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6" x14ac:dyDescent="0.3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6" x14ac:dyDescent="0.3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6" x14ac:dyDescent="0.3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6" x14ac:dyDescent="0.3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6" x14ac:dyDescent="0.3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6" x14ac:dyDescent="0.3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6" x14ac:dyDescent="0.3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6" x14ac:dyDescent="0.3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6" x14ac:dyDescent="0.3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6" x14ac:dyDescent="0.3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6" x14ac:dyDescent="0.3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6" x14ac:dyDescent="0.3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6" x14ac:dyDescent="0.3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6" x14ac:dyDescent="0.3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6" x14ac:dyDescent="0.3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6" x14ac:dyDescent="0.3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6" x14ac:dyDescent="0.3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6" x14ac:dyDescent="0.3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6" x14ac:dyDescent="0.3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6" x14ac:dyDescent="0.3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6" x14ac:dyDescent="0.3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6" x14ac:dyDescent="0.3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6" x14ac:dyDescent="0.3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6" x14ac:dyDescent="0.3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6" x14ac:dyDescent="0.3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6" x14ac:dyDescent="0.3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6" x14ac:dyDescent="0.3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6" x14ac:dyDescent="0.3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6" x14ac:dyDescent="0.3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6" x14ac:dyDescent="0.3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6" x14ac:dyDescent="0.3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6" x14ac:dyDescent="0.3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6" x14ac:dyDescent="0.3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6" x14ac:dyDescent="0.3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6" x14ac:dyDescent="0.3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6" x14ac:dyDescent="0.3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6" x14ac:dyDescent="0.3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6" x14ac:dyDescent="0.3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6" x14ac:dyDescent="0.3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6" x14ac:dyDescent="0.3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6" x14ac:dyDescent="0.3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6" x14ac:dyDescent="0.3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6" x14ac:dyDescent="0.3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6" x14ac:dyDescent="0.3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6" x14ac:dyDescent="0.3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6" x14ac:dyDescent="0.3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6" x14ac:dyDescent="0.3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6" x14ac:dyDescent="0.3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6" x14ac:dyDescent="0.3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6" x14ac:dyDescent="0.3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6" x14ac:dyDescent="0.3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6" x14ac:dyDescent="0.3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6" x14ac:dyDescent="0.3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6" x14ac:dyDescent="0.3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6" x14ac:dyDescent="0.3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6" x14ac:dyDescent="0.3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6" x14ac:dyDescent="0.3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6" x14ac:dyDescent="0.3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6" x14ac:dyDescent="0.3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6" x14ac:dyDescent="0.3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6" x14ac:dyDescent="0.3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6" x14ac:dyDescent="0.3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6" x14ac:dyDescent="0.3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6" x14ac:dyDescent="0.3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6" x14ac:dyDescent="0.3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6" x14ac:dyDescent="0.3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6" x14ac:dyDescent="0.3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6" x14ac:dyDescent="0.3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6" x14ac:dyDescent="0.3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6" x14ac:dyDescent="0.3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6" x14ac:dyDescent="0.3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6" x14ac:dyDescent="0.3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6" x14ac:dyDescent="0.3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6" x14ac:dyDescent="0.3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6" x14ac:dyDescent="0.3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6" x14ac:dyDescent="0.3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6" x14ac:dyDescent="0.3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6" x14ac:dyDescent="0.3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6" x14ac:dyDescent="0.3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6" x14ac:dyDescent="0.3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6" x14ac:dyDescent="0.3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6" x14ac:dyDescent="0.3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6" x14ac:dyDescent="0.3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6" x14ac:dyDescent="0.3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6" x14ac:dyDescent="0.3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6" x14ac:dyDescent="0.3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6" x14ac:dyDescent="0.3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6" x14ac:dyDescent="0.3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6" x14ac:dyDescent="0.3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6" x14ac:dyDescent="0.3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6" x14ac:dyDescent="0.3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6" x14ac:dyDescent="0.3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6" x14ac:dyDescent="0.3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6" x14ac:dyDescent="0.3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6" x14ac:dyDescent="0.3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6" x14ac:dyDescent="0.3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6" x14ac:dyDescent="0.3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6" x14ac:dyDescent="0.3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6" x14ac:dyDescent="0.3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6" x14ac:dyDescent="0.3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6" x14ac:dyDescent="0.3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6" x14ac:dyDescent="0.3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6" x14ac:dyDescent="0.3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6" x14ac:dyDescent="0.3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6" x14ac:dyDescent="0.3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6" x14ac:dyDescent="0.3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6" x14ac:dyDescent="0.3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6" x14ac:dyDescent="0.3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6" x14ac:dyDescent="0.3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6" x14ac:dyDescent="0.3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6" x14ac:dyDescent="0.3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6" x14ac:dyDescent="0.3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6" x14ac:dyDescent="0.3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6" x14ac:dyDescent="0.3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6" x14ac:dyDescent="0.3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6" x14ac:dyDescent="0.3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6" x14ac:dyDescent="0.3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6" x14ac:dyDescent="0.3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6" x14ac:dyDescent="0.3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6" x14ac:dyDescent="0.3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6" x14ac:dyDescent="0.3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6" x14ac:dyDescent="0.3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6" x14ac:dyDescent="0.3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6" x14ac:dyDescent="0.3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6" x14ac:dyDescent="0.3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6" x14ac:dyDescent="0.3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6" x14ac:dyDescent="0.3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6" x14ac:dyDescent="0.3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6" x14ac:dyDescent="0.3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6" x14ac:dyDescent="0.3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6" x14ac:dyDescent="0.3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6" x14ac:dyDescent="0.3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6" x14ac:dyDescent="0.3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6" x14ac:dyDescent="0.3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6" x14ac:dyDescent="0.3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6" x14ac:dyDescent="0.3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6" x14ac:dyDescent="0.3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6" x14ac:dyDescent="0.3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6" x14ac:dyDescent="0.3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6" x14ac:dyDescent="0.3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6" x14ac:dyDescent="0.3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6" x14ac:dyDescent="0.3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6" x14ac:dyDescent="0.3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6" x14ac:dyDescent="0.3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6" x14ac:dyDescent="0.3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6" x14ac:dyDescent="0.3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6" x14ac:dyDescent="0.3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6" x14ac:dyDescent="0.3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6" x14ac:dyDescent="0.3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6" x14ac:dyDescent="0.3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6" x14ac:dyDescent="0.3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6" x14ac:dyDescent="0.3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6" x14ac:dyDescent="0.3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6" x14ac:dyDescent="0.3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6" x14ac:dyDescent="0.3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6" x14ac:dyDescent="0.3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6" x14ac:dyDescent="0.3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6" x14ac:dyDescent="0.3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6" x14ac:dyDescent="0.3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6" x14ac:dyDescent="0.3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6" x14ac:dyDescent="0.3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6" x14ac:dyDescent="0.3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Consolidate/>
  <mergeCells count="2">
    <mergeCell ref="D1:H1"/>
    <mergeCell ref="I1:M1"/>
  </mergeCells>
  <conditionalFormatting sqref="D3:M3">
    <cfRule type="containsText" dxfId="1" priority="1" operator="containsText" text="OK">
      <formula>NOT(ISERROR(SEARCH(("OK"),(D3))))</formula>
    </cfRule>
    <cfRule type="containsText" dxfId="0" priority="2" operator="containsText" text="ERROR">
      <formula>NOT(ISERROR(SEARCH(("ERROR"),(D3))))</formula>
    </cfRule>
  </conditionalFormatting>
  <pageMargins left="0.70866141732283472" right="0.70866141732283472" top="0.74803149606299213" bottom="0.74803149606299213" header="0" footer="0"/>
  <pageSetup scale="78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Three Statement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hilal berhe</cp:lastModifiedBy>
  <dcterms:created xsi:type="dcterms:W3CDTF">2014-11-08T22:00:02Z</dcterms:created>
  <dcterms:modified xsi:type="dcterms:W3CDTF">2026-06-15T17:04:48Z</dcterms:modified>
</cp:coreProperties>
</file>